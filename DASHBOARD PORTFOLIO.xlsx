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krishna\Desktop\"/>
    </mc:Choice>
  </mc:AlternateContent>
  <xr:revisionPtr revIDLastSave="0" documentId="13_ncr:1_{D0FC4267-29DF-428C-B044-8891086647BC}" xr6:coauthVersionLast="47" xr6:coauthVersionMax="47" xr10:uidLastSave="{00000000-0000-0000-0000-000000000000}"/>
  <workbookProtection lockStructure="1"/>
  <bookViews>
    <workbookView xWindow="-108" yWindow="-108" windowWidth="23256" windowHeight="12456" xr2:uid="{00000000-000D-0000-FFFF-FFFF00000000}"/>
  </bookViews>
  <sheets>
    <sheet name="(RAW FILE)COCA COLA CO" sheetId="1" r:id="rId1"/>
    <sheet name="Chart1" sheetId="3" r:id="rId2"/>
    <sheet name="Sheet1" sheetId="2" state="hidden" r:id="rId3"/>
    <sheet name="Sheet3" sheetId="6" state="hidden" r:id="rId4"/>
    <sheet name="Sheet6" sheetId="9" state="hidden" r:id="rId5"/>
    <sheet name="DASHBOARD1" sheetId="11" r:id="rId6"/>
    <sheet name="Sheet11" sheetId="15" state="hidden" r:id="rId7"/>
    <sheet name="Sheet2" sheetId="4" state="hidden" r:id="rId8"/>
  </sheets>
  <definedNames>
    <definedName name="Slicer_Column1">#N/A</definedName>
    <definedName name="Slicer_Column11">#N/A</definedName>
    <definedName name="Slicer_Column12">#N/A</definedName>
  </definedNames>
  <calcPr calcId="191029"/>
  <pivotCaches>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<sst xmlns="http://schemas.openxmlformats.org/spreadsheetml/2006/main" count="220" uniqueCount="116">
  <si>
    <t>Data provided by SimFin</t>
  </si>
  <si>
    <t>Profit &amp; Loss statement</t>
  </si>
  <si>
    <t>in million USD</t>
  </si>
  <si>
    <t>FY '09</t>
  </si>
  <si>
    <t>FY '10</t>
  </si>
  <si>
    <t>FY '11</t>
  </si>
  <si>
    <t>FY '12</t>
  </si>
  <si>
    <t>FY '13</t>
  </si>
  <si>
    <t>FY '14</t>
  </si>
  <si>
    <t>FY '15</t>
  </si>
  <si>
    <t>FY '16</t>
  </si>
  <si>
    <t>FY '17</t>
  </si>
  <si>
    <t>FY '18</t>
  </si>
  <si>
    <t>NET OPERATING REVENUES</t>
  </si>
  <si>
    <t>Cost of goods sold</t>
  </si>
  <si>
    <t>Gross Profit</t>
  </si>
  <si>
    <t>Selling, general and administrative expenses</t>
  </si>
  <si>
    <t>Other operating charges</t>
  </si>
  <si>
    <t>Operating Income</t>
  </si>
  <si>
    <t>Interest income</t>
  </si>
  <si>
    <t>Interest expense</t>
  </si>
  <si>
    <t>Equity income (loss) - net</t>
  </si>
  <si>
    <t>Other income (loss) - net</t>
  </si>
  <si>
    <t>Income before income taxes</t>
  </si>
  <si>
    <t>Income taxes</t>
  </si>
  <si>
    <t>CONSOLIDATED NET INCOME</t>
  </si>
  <si>
    <t>Less: Net income attributable to noncontrolling interests</t>
  </si>
  <si>
    <t>Net income from continuing operations</t>
  </si>
  <si>
    <t>Income (Loss) from Discontinued Operations, Net of Tax, Including Portion Attributable to Noncontrolling Interest</t>
  </si>
  <si>
    <t>NET INCOME ATTRIBUTABLE TO SHAREOWNERS OF THE COCA-COLA COMPANY</t>
  </si>
  <si>
    <t>Balance Sheet</t>
  </si>
  <si>
    <t>Assets</t>
  </si>
  <si>
    <t>Cash and cash equivalents</t>
  </si>
  <si>
    <t>Short-term investments</t>
  </si>
  <si>
    <t>Total cash, cash equivalents and short-term investments</t>
  </si>
  <si>
    <t>Marketable securities</t>
  </si>
  <si>
    <t>Trade accounts receivable, less allowances</t>
  </si>
  <si>
    <t>Inventories</t>
  </si>
  <si>
    <t>Prepaid expenses and other assets</t>
  </si>
  <si>
    <t>Assets held for sale</t>
  </si>
  <si>
    <t>Total current assets</t>
  </si>
  <si>
    <t>Equity method investments</t>
  </si>
  <si>
    <t>Other investments</t>
  </si>
  <si>
    <t>Other assets</t>
  </si>
  <si>
    <t>Property, plant and equipment - net</t>
  </si>
  <si>
    <t>Deferred income tax assets</t>
  </si>
  <si>
    <t>TRADEMARKS WITH INDEFINITE LIVES</t>
  </si>
  <si>
    <t>BOTTLERS' FRANCHISE RIGHTS WITH INDEFINITE LIVES</t>
  </si>
  <si>
    <t>Goodwill</t>
  </si>
  <si>
    <t>Other intangible assets</t>
  </si>
  <si>
    <t>Total assets</t>
  </si>
  <si>
    <t>Liabilities</t>
  </si>
  <si>
    <t>Accounts payable and accrued expenses</t>
  </si>
  <si>
    <t>Loans and notes payable</t>
  </si>
  <si>
    <t>Current maturities of long-term debt</t>
  </si>
  <si>
    <t>Accrued income taxes</t>
  </si>
  <si>
    <t>Liabilities held for sale</t>
  </si>
  <si>
    <t>Liabilities Held for Sale, Discontinued Operations</t>
  </si>
  <si>
    <t>Total current liabilities</t>
  </si>
  <si>
    <t>Long-term debt</t>
  </si>
  <si>
    <t>Other liabilities</t>
  </si>
  <si>
    <t>Deferred income taxes</t>
  </si>
  <si>
    <t>Common stock</t>
  </si>
  <si>
    <t>Capital surplus</t>
  </si>
  <si>
    <t>Reinvested earnings</t>
  </si>
  <si>
    <t>Accumulated other comprehensive income (loss)</t>
  </si>
  <si>
    <t>Treasury stock, at cost</t>
  </si>
  <si>
    <t>EQUITY ATTRIBUTABLE TO SHAREOWNERS OF THE COCA-COLA COMPANY</t>
  </si>
  <si>
    <t>Equity attributable to noncontrolling interests</t>
  </si>
  <si>
    <t>Total equity</t>
  </si>
  <si>
    <t>Total liabilities and equity</t>
  </si>
  <si>
    <t>Cash Flow statement</t>
  </si>
  <si>
    <t>Depreciation and amortization</t>
  </si>
  <si>
    <t>(Income) Loss from discontinued operations</t>
  </si>
  <si>
    <t>Stock-based compensation expense</t>
  </si>
  <si>
    <t>Equity (income) loss - net of dividends</t>
  </si>
  <si>
    <t>Foreign currency adjustments</t>
  </si>
  <si>
    <t>Significant (gains) losses on sales of assets - net</t>
  </si>
  <si>
    <t>Other significant (gains) losses - net</t>
  </si>
  <si>
    <t>Other items</t>
  </si>
  <si>
    <t>Net change in operating assets and liabilities</t>
  </si>
  <si>
    <t>Net cash provided by operating activities</t>
  </si>
  <si>
    <t>Purchases of short-term investments</t>
  </si>
  <si>
    <t>Purchases of investments</t>
  </si>
  <si>
    <t>Proceeds from disposals of investments</t>
  </si>
  <si>
    <t>Acquisitions of businesses, equity method investments and nonmarketable securities</t>
  </si>
  <si>
    <t>Proceeds from disposals of businesses, equity method investments and nonmarkatable securities</t>
  </si>
  <si>
    <t>Purchases of property, plant and equipment</t>
  </si>
  <si>
    <t>Proceeds from disposals of property, plant and equipment</t>
  </si>
  <si>
    <t>Other investing activities</t>
  </si>
  <si>
    <t>Net cash provided by (used in) investing activities</t>
  </si>
  <si>
    <t>Issuances of debt</t>
  </si>
  <si>
    <t>Payments of debt</t>
  </si>
  <si>
    <t>Issuances of stock</t>
  </si>
  <si>
    <t>Purchases of stock for treasury</t>
  </si>
  <si>
    <t>Dividends</t>
  </si>
  <si>
    <t>Other financing activities</t>
  </si>
  <si>
    <t>Net cash provided by (used in) financing activities</t>
  </si>
  <si>
    <t>Cash Provided by (Used in) Operating Activities, Discontinued Operations</t>
  </si>
  <si>
    <t>Effect of exchange rate changes on cash and cash equivalents</t>
  </si>
  <si>
    <t>Cash Provided by (Used in) Investing Activities, Discontinued Operations</t>
  </si>
  <si>
    <t>Cash Provided by (Used in) Financing Activities, Discontinued Operations</t>
  </si>
  <si>
    <t>Net Cash Provided by (Used in) Discontinued Operations</t>
  </si>
  <si>
    <t>Net increase (decrease) during the year</t>
  </si>
  <si>
    <t>Column1</t>
  </si>
  <si>
    <t>Grand Total</t>
  </si>
  <si>
    <t>Row Labels</t>
  </si>
  <si>
    <t>Sum of Gross Profit</t>
  </si>
  <si>
    <t>Sum of Total assets</t>
  </si>
  <si>
    <t>Sum of Operating Income</t>
  </si>
  <si>
    <t>Sum of Total equity</t>
  </si>
  <si>
    <t>Sum of Total current liabilities</t>
  </si>
  <si>
    <t>Net increase (decrease) during the year2</t>
  </si>
  <si>
    <t>CONSOLIDATED NET INCOME2</t>
  </si>
  <si>
    <t>Sum of Net increase (decrease) during the year</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</si>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</sst>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409]* #,##0.00_ ;_-[$$-409]* \-#,##0.00\ ;_-[$$-409]* &quot;-&quot;??_ ;_-@_ "/>
    <numFmt numFmtId="165" formatCode="_-[$$-409]* #,##0_ ;_-[$$-409]* \-#,##0\ ;_-[$$-409]* &quot;-&quot;??_ ;_-@_ "/>
  </numFmts>
  <fonts count="9" x14ac:knownFonts="1">
    <font>
      <sz val="11"/>
      <color rgb="FF000000"/>
      <name val="Calibri"/>
    </font>
    <font>
      <b/>
      <sz val="11"/>
      <color rgb="FFFFFFFF"/>
      <name val="Calibri"/>
      <family val="2"/>
    </font>
    <font>
      <b/>
      <sz val="9"/>
      <color rgb="FFFFFFFF"/>
      <name val="Arial"/>
      <family val="2"/>
    </font>
    <font>
      <b/>
      <sz val="11"/>
      <color rgb="FF000000"/>
      <name val="Calibri"/>
      <family val="2"/>
    </font>
    <font>
      <sz val="11"/>
      <color rgb="FF000000"/>
      <name val="Calibri"/>
      <family val="2"/>
    </font>
    <font>
      <b/>
      <sz val="14"/>
      <color rgb="FF000000"/>
      <name val="Calibri"/>
      <family val="2"/>
    </font>
    <font>
      <sz val="8"/>
      <name val="Calibri"/>
      <family val="2"/>
    </font>
    <font>
      <b/>
      <sz val="12"/>
      <color rgb="FF000000"/>
      <name val="Calibri"/>
      <family val="2"/>
    </font>
    <font>
      <b/>
      <sz val="11"/>
      <color theme="1"/>
      <name val="Calibri"/>
      <family val="2"/>
    </font>
  </fonts>
  <fills count="5">
    <fill>
      <patternFill patternType="none"/>
    </fill>
    <fill>
      <patternFill patternType="gray125"/>
    </fill>
    <fill>
      <patternFill patternType="none"/>
    </fill>
    <fill>
      <patternFill patternType="solid">
        <fgColor rgb="FF3399FF"/>
        <bgColor rgb="FFFFFFFF"/>
      </patternFill>
    </fill>
    <fill>
      <patternFill patternType="solid">
        <fgColor theme="4"/>
        <bgColor indexed="64"/>
      </patternFill>
    </fill>
  </fills>
  <borders count="24">
    <border>
      <left/>
      <right/>
      <top/>
      <bottom/>
      <diagonal/>
    </border>
    <border>
      <left/>
      <right/>
      <top style="thin">
        <color rgb="FF000000"/>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s>
  <cellStyleXfs count="2">
    <xf numFmtId="0" fontId="0" fillId="0" borderId="0"/>
    <xf numFmtId="43" fontId="4" fillId="0" borderId="0" applyFont="0" applyFill="0" applyBorder="0" applyAlignment="0" applyProtection="0"/>
  </cellStyleXfs>
  <cellXfs count="55">
    <xf numFmtId="0" fontId="0" fillId="2" borderId="0" xfId="0" applyFill="1"/>
    <xf numFmtId="0" fontId="1" fillId="3" borderId="0" xfId="0" applyFont="1" applyFill="1"/>
    <xf numFmtId="0" fontId="2" fillId="3" borderId="0" xfId="0" applyFont="1" applyFill="1"/>
    <xf numFmtId="3" fontId="0" fillId="2" borderId="0" xfId="0" applyNumberFormat="1" applyFill="1"/>
    <xf numFmtId="0" fontId="3" fillId="2" borderId="1" xfId="0" applyFont="1" applyFill="1" applyBorder="1"/>
    <xf numFmtId="3" fontId="3" fillId="2" borderId="1" xfId="0" applyNumberFormat="1" applyFont="1" applyFill="1" applyBorder="1"/>
    <xf numFmtId="0" fontId="5" fillId="2" borderId="0" xfId="0" applyFont="1" applyFill="1"/>
    <xf numFmtId="0" fontId="0" fillId="2" borderId="4" xfId="0" applyFill="1" applyBorder="1"/>
    <xf numFmtId="0" fontId="5" fillId="4" borderId="2" xfId="0" applyFont="1" applyFill="1" applyBorder="1"/>
    <xf numFmtId="0" fontId="5" fillId="4" borderId="3" xfId="0" applyFont="1" applyFill="1" applyBorder="1"/>
    <xf numFmtId="164" fontId="5" fillId="2" borderId="1" xfId="1" applyNumberFormat="1" applyFont="1" applyFill="1" applyBorder="1"/>
    <xf numFmtId="0" fontId="0" fillId="2" borderId="6" xfId="0" applyFill="1" applyBorder="1"/>
    <xf numFmtId="0" fontId="7" fillId="0" borderId="7" xfId="0" applyFont="1" applyBorder="1"/>
    <xf numFmtId="0" fontId="7" fillId="0" borderId="8" xfId="0" applyFont="1" applyBorder="1"/>
    <xf numFmtId="0" fontId="3" fillId="2" borderId="9" xfId="0" applyFont="1" applyFill="1" applyBorder="1"/>
    <xf numFmtId="0" fontId="3" fillId="2" borderId="11" xfId="0" applyFont="1" applyFill="1" applyBorder="1"/>
    <xf numFmtId="164" fontId="3" fillId="2" borderId="5" xfId="1" applyNumberFormat="1" applyFont="1" applyFill="1" applyBorder="1"/>
    <xf numFmtId="164" fontId="3" fillId="2" borderId="10" xfId="1" applyNumberFormat="1" applyFont="1" applyFill="1" applyBorder="1"/>
    <xf numFmtId="164" fontId="3" fillId="2" borderId="12" xfId="1" applyNumberFormat="1" applyFont="1" applyFill="1" applyBorder="1"/>
    <xf numFmtId="164" fontId="3" fillId="2" borderId="13" xfId="1" applyNumberFormat="1" applyFont="1" applyFill="1" applyBorder="1"/>
    <xf numFmtId="164" fontId="8" fillId="2" borderId="5" xfId="1" applyNumberFormat="1" applyFont="1" applyFill="1" applyBorder="1"/>
    <xf numFmtId="0" fontId="8" fillId="2" borderId="0" xfId="0" applyFont="1" applyFill="1"/>
    <xf numFmtId="164" fontId="8" fillId="2" borderId="0" xfId="1" applyNumberFormat="1" applyFont="1" applyFill="1" applyBorder="1"/>
    <xf numFmtId="164" fontId="0" fillId="2" borderId="5" xfId="1" applyNumberFormat="1" applyFont="1" applyFill="1" applyBorder="1"/>
    <xf numFmtId="0" fontId="0" fillId="2" borderId="9" xfId="0" applyFill="1" applyBorder="1"/>
    <xf numFmtId="164" fontId="0" fillId="2" borderId="10" xfId="1" applyNumberFormat="1" applyFont="1" applyFill="1" applyBorder="1"/>
    <xf numFmtId="0" fontId="0" fillId="2" borderId="11" xfId="0" applyFill="1" applyBorder="1"/>
    <xf numFmtId="164" fontId="8" fillId="2" borderId="12" xfId="1" applyNumberFormat="1" applyFont="1" applyFill="1" applyBorder="1"/>
    <xf numFmtId="164" fontId="0" fillId="2" borderId="12" xfId="1" applyNumberFormat="1" applyFont="1" applyFill="1" applyBorder="1"/>
    <xf numFmtId="164" fontId="0" fillId="2" borderId="13" xfId="1" applyNumberFormat="1" applyFont="1" applyFill="1" applyBorder="1"/>
    <xf numFmtId="0" fontId="0" fillId="0" borderId="6" xfId="0" applyBorder="1"/>
    <xf numFmtId="0" fontId="0" fillId="0" borderId="7" xfId="0" applyBorder="1"/>
    <xf numFmtId="0" fontId="0" fillId="2" borderId="14" xfId="0" applyFill="1" applyBorder="1"/>
    <xf numFmtId="0" fontId="0" fillId="2" borderId="14" xfId="0" pivotButton="1" applyFill="1" applyBorder="1"/>
    <xf numFmtId="0" fontId="0" fillId="2" borderId="18" xfId="0" applyFill="1" applyBorder="1"/>
    <xf numFmtId="0" fontId="0" fillId="2" borderId="19" xfId="0" applyFill="1" applyBorder="1"/>
    <xf numFmtId="0" fontId="0" fillId="2" borderId="20" xfId="0" applyFill="1" applyBorder="1"/>
    <xf numFmtId="164" fontId="0" fillId="2" borderId="16" xfId="0" applyNumberFormat="1" applyFill="1" applyBorder="1"/>
    <xf numFmtId="164" fontId="0" fillId="2" borderId="17" xfId="0" applyNumberFormat="1" applyFill="1" applyBorder="1"/>
    <xf numFmtId="164" fontId="0" fillId="2" borderId="18" xfId="0" applyNumberFormat="1" applyFill="1" applyBorder="1"/>
    <xf numFmtId="0" fontId="0" fillId="2" borderId="18" xfId="0" pivotButton="1" applyFill="1" applyBorder="1"/>
    <xf numFmtId="0" fontId="0" fillId="2" borderId="14" xfId="0" applyFill="1" applyBorder="1" applyAlignment="1">
      <alignment horizontal="left"/>
    </xf>
    <xf numFmtId="164" fontId="0" fillId="2" borderId="20" xfId="0" applyNumberFormat="1" applyFill="1" applyBorder="1"/>
    <xf numFmtId="0" fontId="0" fillId="2" borderId="15" xfId="0" applyFill="1" applyBorder="1" applyAlignment="1">
      <alignment horizontal="left"/>
    </xf>
    <xf numFmtId="164" fontId="0" fillId="2" borderId="21" xfId="0" applyNumberFormat="1" applyFill="1" applyBorder="1"/>
    <xf numFmtId="0" fontId="0" fillId="2" borderId="16" xfId="0" applyFill="1" applyBorder="1" applyAlignment="1">
      <alignment horizontal="left"/>
    </xf>
    <xf numFmtId="0" fontId="0" fillId="2" borderId="22" xfId="0" applyFill="1" applyBorder="1"/>
    <xf numFmtId="164" fontId="0" fillId="2" borderId="23" xfId="0" applyNumberFormat="1" applyFill="1" applyBorder="1"/>
    <xf numFmtId="165" fontId="0" fillId="2" borderId="16" xfId="0" applyNumberFormat="1" applyFill="1" applyBorder="1"/>
    <xf numFmtId="165" fontId="0" fillId="2" borderId="17" xfId="0" applyNumberFormat="1" applyFill="1" applyBorder="1"/>
    <xf numFmtId="165" fontId="0" fillId="2" borderId="23" xfId="0" applyNumberFormat="1" applyFill="1" applyBorder="1"/>
    <xf numFmtId="164" fontId="4" fillId="0" borderId="5" xfId="1" applyNumberFormat="1" applyFont="1" applyFill="1" applyBorder="1"/>
    <xf numFmtId="164" fontId="4" fillId="0" borderId="7" xfId="1" applyNumberFormat="1" applyFont="1" applyFill="1" applyBorder="1"/>
    <xf numFmtId="164" fontId="4" fillId="0" borderId="12" xfId="1" applyNumberFormat="1" applyFont="1" applyFill="1" applyBorder="1"/>
    <xf numFmtId="0" fontId="4" fillId="2" borderId="0" xfId="0" applyFont="1" applyFill="1"/>
  </cellXfs>
  <cellStyles count="2">
    <cellStyle name="Comma" xfId="1" builtinId="3"/>
    <cellStyle name="Normal" xfId="0" builtinId="0"/>
  </cellStyles>
  <dxfs count="67">
    <dxf>
      <font>
        <b val="0"/>
        <i val="0"/>
        <strike val="0"/>
        <condense val="0"/>
        <extend val="0"/>
        <outline val="0"/>
        <shadow val="0"/>
        <u val="none"/>
        <vertAlign val="baseline"/>
        <sz val="11"/>
        <color rgb="FF000000"/>
        <name val="Calibri"/>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numFmt numFmtId="164" formatCode="_-[$$-409]* #,##0.00_ ;_-[$$-409]* \-#,##0.00\ ;_-[$$-409]* &quot;-&quot;??_ ;_-@_ "/>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_-[$$-409]* #,##0.00_ ;_-[$$-409]* \-#,##0.00\ ;_-[$$-409]* &quot;-&quot;??_ ;_-@_ "/>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scheme val="none"/>
      </font>
      <fill>
        <patternFill patternType="none">
          <fgColor indexed="64"/>
          <bgColor indexed="65"/>
        </patternFill>
      </fill>
    </dxf>
    <dxf>
      <border outline="0">
        <bottom style="thin">
          <color indexed="64"/>
        </bottom>
      </border>
    </dxf>
    <dxf>
      <fill>
        <patternFill patternType="none">
          <fgColor indexed="64"/>
          <bgColor indexed="65"/>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numFmt numFmtId="164" formatCode="_-[$$-409]* #,##0.00_ ;_-[$$-409]* \-#,##0.00\ ;_-[$$-409]* &quot;-&quot;??_ ;_-@_ "/>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Calibri"/>
        <family val="2"/>
        <scheme val="none"/>
      </font>
      <fill>
        <patternFill patternType="none">
          <fgColor indexed="64"/>
          <bgColor indexed="65"/>
        </patternFill>
      </fill>
      <border diagonalUp="0" diagonalDown="0" outline="0">
        <left/>
        <right style="thin">
          <color indexed="64"/>
        </right>
        <top style="thin">
          <color indexed="64"/>
        </top>
        <bottom/>
      </border>
    </dxf>
    <dxf>
      <font>
        <b/>
        <i val="0"/>
        <strike val="0"/>
        <condense val="0"/>
        <extend val="0"/>
        <outline val="0"/>
        <shadow val="0"/>
        <u val="none"/>
        <vertAlign val="baseline"/>
        <sz val="11"/>
        <color rgb="FF000000"/>
        <name val="Calibri"/>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rgb="FF000000"/>
        <name val="Calibri"/>
        <family val="2"/>
        <scheme val="none"/>
      </font>
      <fill>
        <patternFill patternType="none">
          <fgColor indexed="64"/>
          <bgColor indexed="65"/>
        </patternFill>
      </fill>
    </dxf>
    <dxf>
      <border>
        <bottom style="thin">
          <color indexed="64"/>
        </bottom>
      </border>
    </dxf>
    <dxf>
      <font>
        <b/>
        <i val="0"/>
        <strike val="0"/>
        <condense val="0"/>
        <extend val="0"/>
        <outline val="0"/>
        <shadow val="0"/>
        <u val="none"/>
        <vertAlign val="baseline"/>
        <sz val="12"/>
        <color rgb="FF000000"/>
        <name val="Calibri"/>
        <family val="2"/>
        <scheme val="none"/>
      </font>
      <fill>
        <patternFill patternType="none">
          <fgColor indexed="64"/>
          <bgColor indexed="65"/>
        </patternFill>
      </fill>
      <border diagonalUp="0" diagonalDown="0">
        <left style="thin">
          <color indexed="64"/>
        </left>
        <right style="thin">
          <color indexed="64"/>
        </right>
        <top/>
        <bottom/>
        <vertical style="thin">
          <color indexed="64"/>
        </vertical>
        <horizontal style="thin">
          <color indexed="64"/>
        </horizontal>
      </border>
    </dxf>
    <dxf>
      <numFmt numFmtId="165" formatCode="_-[$$-409]* #,##0_ ;_-[$$-409]* \-#,##0\ ;_-[$$-409]* &quot;-&quot;??_ ;_-@_ "/>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numFmt numFmtId="164" formatCode="_-[$$-409]* #,##0.00_ ;_-[$$-409]* \-#,##0.00\ ;_-[$$-409]* &quot;-&quot;??_ ;_-@_ "/>
      <fill>
        <patternFill patternType="none">
          <fgColor indexed="64"/>
          <bgColor indexed="65"/>
        </patternFill>
      </fill>
      <border diagonalUp="0" diagonalDown="0" outline="0">
        <left/>
        <right/>
        <top style="thin">
          <color rgb="FF000000"/>
        </top>
        <bottom/>
      </border>
    </dxf>
    <dxf>
      <font>
        <b/>
        <i val="0"/>
        <strike val="0"/>
        <condense val="0"/>
        <extend val="0"/>
        <outline val="0"/>
        <shadow val="0"/>
        <u val="none"/>
        <vertAlign val="baseline"/>
        <sz val="14"/>
        <color rgb="FF000000"/>
        <name val="Calibri"/>
        <family val="2"/>
        <scheme val="none"/>
      </font>
      <fill>
        <patternFill patternType="none">
          <fgColor indexed="64"/>
          <bgColor indexed="65"/>
        </patternFill>
      </fill>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4"/>
        <color rgb="FF000000"/>
        <name val="Calibri"/>
        <family val="2"/>
        <scheme val="none"/>
      </font>
      <fill>
        <patternFill patternType="none">
          <fgColor indexed="64"/>
          <bgColor indexed="65"/>
        </patternFill>
      </fill>
    </dxf>
    <dxf>
      <border outline="0">
        <bottom style="medium">
          <color indexed="64"/>
        </bottom>
      </border>
    </dxf>
    <dxf>
      <font>
        <b/>
        <i val="0"/>
        <strike val="0"/>
        <condense val="0"/>
        <extend val="0"/>
        <outline val="0"/>
        <shadow val="0"/>
        <u val="none"/>
        <vertAlign val="baseline"/>
        <sz val="14"/>
        <color rgb="FF000000"/>
        <name val="Calibri"/>
        <family val="2"/>
        <scheme val="none"/>
      </font>
      <fill>
        <patternFill patternType="none">
          <fgColor indexed="64"/>
          <bgColor indexed="65"/>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theme" Target="theme/theme1.xml"/><Relationship Id="rId3" Type="http://schemas.openxmlformats.org/officeDocument/2006/relationships/worksheet" Target="worksheets/sheet2.xml"/><Relationship Id="rId7" Type="http://schemas.openxmlformats.org/officeDocument/2006/relationships/worksheet" Target="worksheets/sheet6.xml"/><Relationship Id="rId12" Type="http://schemas.microsoft.com/office/2007/relationships/slicerCache" Target="slicerCaches/slicerCache3.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worksheet" Target="worksheets/sheet5.xml"/><Relationship Id="rId11" Type="http://schemas.microsoft.com/office/2007/relationships/slicerCache" Target="slicerCaches/slicerCache2.xml"/><Relationship Id="rId5" Type="http://schemas.openxmlformats.org/officeDocument/2006/relationships/worksheet" Target="worksheets/sheet4.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3.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rot="0" spcFirstLastPara="1" vertOverflow="ellipsis" vert="horz" wrap="square" anchor="ctr" anchorCtr="1"/>
          <a:lstStyle/>
          <a:p>
            <a:pPr algn="ctr">
              <a:defRPr sz="1500" b="1" i="0" u="none" strike="noStrike" kern="1200" cap="all" spc="100" normalizeH="0" baseline="0">
                <a:solidFill>
                  <a:schemeClr val="lt1"/>
                </a:solidFill>
                <a:latin typeface="+mn-lt"/>
                <a:ea typeface="+mn-ea"/>
                <a:cs typeface="+mn-cs"/>
              </a:defRPr>
            </a:pPr>
            <a:r>
              <a:rPr lang="en-US"/>
              <a:t>WHAT IS OUR CURRENT FACTORY PROFIT STATUS?</a:t>
            </a:r>
          </a:p>
        </c:rich>
      </c:tx>
      <c:layout>
        <c:manualLayout>
          <c:xMode val="edge"/>
          <c:yMode val="edge"/>
          <c:x val="0.28215169459866318"/>
          <c:y val="4.4168243242273766E-2"/>
        </c:manualLayout>
      </c:layout>
      <c:overlay val="0"/>
      <c:spPr>
        <a:noFill/>
        <a:ln>
          <a:noFill/>
        </a:ln>
        <a:effectLst/>
      </c:spPr>
      <c:txPr>
        <a:bodyPr rot="0" spcFirstLastPara="1" vertOverflow="ellipsis" vert="horz" wrap="square" anchor="ctr" anchorCtr="1"/>
        <a:lstStyle/>
        <a:p>
          <a:pPr algn="ct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8.5313454493818025E-2"/>
          <c:y val="0.10875625831815929"/>
          <c:w val="0.87070435406493718"/>
          <c:h val="0.86001641614021318"/>
        </c:manualLayout>
      </c:layout>
      <c:lineChart>
        <c:grouping val="standard"/>
        <c:varyColors val="0"/>
        <c:ser>
          <c:idx val="0"/>
          <c:order val="0"/>
          <c:tx>
            <c:strRef>
              <c:f>Sheet1!$C$6</c:f>
              <c:strCache>
                <c:ptCount val="1"/>
                <c:pt idx="0">
                  <c:v>Net increase (decrease) during the year</c:v>
                </c:pt>
              </c:strCache>
            </c:strRef>
          </c:tx>
          <c:spPr>
            <a:ln w="25400" cap="rnd">
              <a:solidFill>
                <a:schemeClr val="lt1"/>
              </a:solidFill>
              <a:round/>
            </a:ln>
            <a:effectLst>
              <a:outerShdw dist="25400" dir="2700000" algn="tl" rotWithShape="0">
                <a:schemeClr val="accent1"/>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Sheet1!$D$5:$M$5</c:f>
              <c:strCache>
                <c:ptCount val="10"/>
                <c:pt idx="0">
                  <c:v>FY '09</c:v>
                </c:pt>
                <c:pt idx="1">
                  <c:v>FY '10</c:v>
                </c:pt>
                <c:pt idx="2">
                  <c:v>FY '11</c:v>
                </c:pt>
                <c:pt idx="3">
                  <c:v>FY '12</c:v>
                </c:pt>
                <c:pt idx="4">
                  <c:v>FY '13</c:v>
                </c:pt>
                <c:pt idx="5">
                  <c:v>FY '14</c:v>
                </c:pt>
                <c:pt idx="6">
                  <c:v>FY '15</c:v>
                </c:pt>
                <c:pt idx="7">
                  <c:v>FY '16</c:v>
                </c:pt>
                <c:pt idx="8">
                  <c:v>FY '17</c:v>
                </c:pt>
                <c:pt idx="9">
                  <c:v>FY '18</c:v>
                </c:pt>
              </c:strCache>
            </c:strRef>
          </c:cat>
          <c:val>
            <c:numRef>
              <c:f>Sheet1!$D$6:$M$6</c:f>
              <c:numCache>
                <c:formatCode>_-[$$-409]* #,##0.00_ ;_-[$$-409]* \-#,##0.00\ ;_-[$$-409]* "-"??_ ;_-@_ </c:formatCode>
                <c:ptCount val="10"/>
                <c:pt idx="0">
                  <c:v>2320</c:v>
                </c:pt>
                <c:pt idx="1">
                  <c:v>1496</c:v>
                </c:pt>
                <c:pt idx="2">
                  <c:v>4286</c:v>
                </c:pt>
                <c:pt idx="3">
                  <c:v>-4361</c:v>
                </c:pt>
                <c:pt idx="4">
                  <c:v>1972</c:v>
                </c:pt>
                <c:pt idx="5">
                  <c:v>-1456</c:v>
                </c:pt>
                <c:pt idx="6">
                  <c:v>-1649</c:v>
                </c:pt>
                <c:pt idx="7">
                  <c:v>1246</c:v>
                </c:pt>
                <c:pt idx="8">
                  <c:v>-2477</c:v>
                </c:pt>
                <c:pt idx="9">
                  <c:v>2945</c:v>
                </c:pt>
              </c:numCache>
            </c:numRef>
          </c:val>
          <c:smooth val="0"/>
          <c:extLst>
            <c:ext xmlns:c16="http://schemas.microsoft.com/office/drawing/2014/chart" uri="{C3380CC4-5D6E-409C-BE32-E72D297353CC}">
              <c16:uniqueId val="{00000000-0401-4A2C-B2AA-158456B8C99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77426064"/>
        <c:axId val="1377425584"/>
      </c:lineChart>
      <c:dateAx>
        <c:axId val="1377426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377425584"/>
        <c:crosses val="autoZero"/>
        <c:auto val="0"/>
        <c:lblOffset val="100"/>
        <c:baseTimeUnit val="days"/>
      </c:dateAx>
      <c:valAx>
        <c:axId val="1377425584"/>
        <c:scaling>
          <c:orientation val="minMax"/>
        </c:scaling>
        <c:delete val="1"/>
        <c:axPos val="l"/>
        <c:title>
          <c:tx>
            <c:rich>
              <a:bodyPr rot="-5400000" spcFirstLastPara="1" vertOverflow="ellipsis" vert="horz" wrap="square" anchor="ctr" anchorCtr="1"/>
              <a:lstStyle/>
              <a:p>
                <a:pPr algn="r">
                  <a:defRPr sz="900" b="1" i="0" u="none" strike="noStrike" kern="1200" baseline="0">
                    <a:solidFill>
                      <a:schemeClr val="lt1"/>
                    </a:solidFill>
                    <a:latin typeface="+mn-lt"/>
                    <a:ea typeface="+mn-ea"/>
                    <a:cs typeface="+mn-cs"/>
                  </a:defRPr>
                </a:pPr>
                <a:r>
                  <a:rPr lang="en-IN" sz="1400"/>
                  <a:t>OUR GROWTH</a:t>
                </a:r>
              </a:p>
            </c:rich>
          </c:tx>
          <c:layout>
            <c:manualLayout>
              <c:xMode val="edge"/>
              <c:yMode val="edge"/>
              <c:x val="7.739936901230939E-3"/>
              <c:y val="0.39956156566701972"/>
            </c:manualLayout>
          </c:layout>
          <c:overlay val="0"/>
          <c:spPr>
            <a:noFill/>
            <a:ln>
              <a:noFill/>
            </a:ln>
            <a:effectLst/>
          </c:spPr>
          <c:txPr>
            <a:bodyPr rot="-5400000" spcFirstLastPara="1" vertOverflow="ellipsis" vert="horz" wrap="square" anchor="ctr" anchorCtr="1"/>
            <a:lstStyle/>
            <a:p>
              <a:pPr algn="r">
                <a:defRPr sz="900" b="1" i="0" u="none" strike="noStrike" kern="1200" baseline="0">
                  <a:solidFill>
                    <a:schemeClr val="lt1"/>
                  </a:solidFill>
                  <a:latin typeface="+mn-lt"/>
                  <a:ea typeface="+mn-ea"/>
                  <a:cs typeface="+mn-cs"/>
                </a:defRPr>
              </a:pPr>
              <a:endParaRPr lang="en-US"/>
            </a:p>
          </c:txPr>
        </c:title>
        <c:numFmt formatCode="_-[$$-409]* #,##0.00_ ;_-[$$-409]* \-#,##0.00\ ;_-[$$-409]* &quot;-&quot;??_ ;_-@_ " sourceLinked="1"/>
        <c:majorTickMark val="none"/>
        <c:minorTickMark val="none"/>
        <c:tickLblPos val="nextTo"/>
        <c:crossAx val="1377426064"/>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[ColaPORT.xlsx]Sheet6!PivotTable9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WHAT ARE OUR LIABILITIES COMPARED TO EQUITY AND ASSETS?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9.7222222222223247E-3"/>
              <c:y val="-1.388888888888888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ECE01FE-DEA2-4C56-9BE1-0CBE8438F40A}" type="SERIESNAME">
                  <a:rPr lang="en-US" sz="1050" b="1"/>
                  <a:pPr>
                    <a:defRPr sz="900" b="0" i="0" u="none" strike="noStrike" kern="1200" baseline="0">
                      <a:solidFill>
                        <a:schemeClr val="tx1">
                          <a:lumMod val="75000"/>
                          <a:lumOff val="25000"/>
                        </a:schemeClr>
                      </a:solidFill>
                      <a:latin typeface="+mn-lt"/>
                      <a:ea typeface="+mn-ea"/>
                      <a:cs typeface="+mn-cs"/>
                    </a:defRPr>
                  </a:pPr>
                  <a:t>[SERIES NAME]</a:t>
                </a:fld>
                <a:r>
                  <a:rPr lang="en-US" b="1" baseline="0"/>
                  <a:t>,</a:t>
                </a:r>
              </a:p>
              <a:p>
                <a:pPr>
                  <a:defRPr sz="900" b="0" i="0" u="none" strike="noStrike" kern="1200" baseline="0">
                    <a:solidFill>
                      <a:schemeClr val="tx1">
                        <a:lumMod val="75000"/>
                        <a:lumOff val="25000"/>
                      </a:schemeClr>
                    </a:solidFill>
                    <a:latin typeface="+mn-lt"/>
                    <a:ea typeface="+mn-ea"/>
                    <a:cs typeface="+mn-cs"/>
                  </a:defRPr>
                </a:pPr>
                <a:fld id="{6447117D-676D-4D51-94D7-4D53AA00EA9E}" type="VALUE">
                  <a:rPr lang="en-US" sz="1050" b="1"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4473600174978127"/>
                  <c:h val="0.32696777486147566"/>
                </c:manualLayout>
              </c15:layout>
              <c15:dlblFieldTable/>
              <c15:showDataLabelsRange val="0"/>
            </c:ext>
          </c:extLst>
        </c:dLbl>
      </c:pivotFmt>
      <c:pivotFmt>
        <c:idx val="4"/>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AF5A9F-71FF-43BD-A64A-E875C80E1C6B}" type="SERIESNAME">
                  <a:rPr lang="en-US" sz="1050" b="1"/>
                  <a:pPr>
                    <a:defRPr sz="900" b="0" i="0" u="none" strike="noStrike" kern="1200" baseline="0">
                      <a:solidFill>
                        <a:schemeClr val="tx1">
                          <a:lumMod val="75000"/>
                          <a:lumOff val="25000"/>
                        </a:schemeClr>
                      </a:solidFill>
                      <a:latin typeface="+mn-lt"/>
                      <a:ea typeface="+mn-ea"/>
                      <a:cs typeface="+mn-cs"/>
                    </a:defRPr>
                  </a:pPr>
                  <a:t>[SERIES NAME]</a:t>
                </a:fld>
                <a:r>
                  <a:rPr lang="en-US" sz="1050" b="1" baseline="0"/>
                  <a:t>, </a:t>
                </a:r>
                <a:fld id="{BDAE0432-7BB8-4F36-8E1C-C1A971592E02}" type="VALUE">
                  <a:rPr lang="en-US" sz="1050" b="1" baseline="0"/>
                  <a:pPr>
                    <a:defRPr sz="900" b="0" i="0" u="none" strike="noStrike" kern="1200" baseline="0">
                      <a:solidFill>
                        <a:schemeClr val="tx1">
                          <a:lumMod val="75000"/>
                          <a:lumOff val="25000"/>
                        </a:schemeClr>
                      </a:solidFill>
                      <a:latin typeface="+mn-lt"/>
                      <a:ea typeface="+mn-ea"/>
                      <a:cs typeface="+mn-cs"/>
                    </a:defRPr>
                  </a:pPr>
                  <a:t>[VALUE]</a:t>
                </a:fld>
                <a:endParaRPr lang="en-US" sz="105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26140266841644799"/>
                  <c:h val="0.19194444444444445"/>
                </c:manualLayout>
              </c15:layout>
              <c15:dlblFieldTable/>
              <c15:showDataLabelsRange val="0"/>
            </c:ext>
          </c:extLst>
        </c:dLbl>
      </c:pivotFmt>
      <c:pivotFmt>
        <c:idx val="5"/>
        <c:spPr>
          <a:solidFill>
            <a:srgbClr val="FF0000"/>
          </a:solidFill>
          <a:ln>
            <a:noFill/>
          </a:ln>
          <a:effectLst/>
        </c:spPr>
        <c:dLbl>
          <c:idx val="0"/>
          <c:tx>
            <c:rich>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fld id="{F3F04F0C-071E-4CD0-9960-8DFE89543D84}" type="SERIESNAME">
                  <a:rPr lang="en-US" sz="1050" b="1"/>
                  <a:pPr algn="ctr">
                    <a:defRPr lang="en-US" sz="900" b="0" i="0" u="none" strike="noStrike" kern="1200" baseline="0">
                      <a:solidFill>
                        <a:schemeClr val="tx1">
                          <a:lumMod val="75000"/>
                          <a:lumOff val="25000"/>
                        </a:schemeClr>
                      </a:solidFill>
                      <a:latin typeface="+mn-lt"/>
                      <a:ea typeface="+mn-ea"/>
                      <a:cs typeface="+mn-cs"/>
                    </a:defRPr>
                  </a:pPr>
                  <a:t>[SERIES NAME]</a:t>
                </a:fld>
                <a:r>
                  <a:rPr lang="en-US" baseline="0"/>
                  <a:t>, </a:t>
                </a:r>
                <a:fld id="{6F508BB0-74DE-4633-85AD-C7226EF27282}" type="VALUE">
                  <a:rPr lang="en-US" sz="1050" b="1" baseline="0"/>
                  <a:pPr algn="ctr">
                    <a:defRPr lang="en-US"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3947360017497813"/>
                  <c:h val="0.17798629337999416"/>
                </c:manualLayout>
              </c15:layout>
              <c15:dlblFieldTable/>
              <c15:showDataLabelsRange val="0"/>
            </c:ext>
          </c:extLst>
        </c:dLbl>
      </c:pivotFmt>
      <c:pivotFmt>
        <c:idx val="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dLbl>
          <c:idx val="0"/>
          <c:layout>
            <c:manualLayout>
              <c:x val="-9.7222222222223247E-3"/>
              <c:y val="-1.388888888888888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ECE01FE-DEA2-4C56-9BE1-0CBE8438F40A}" type="SERIESNAME">
                  <a:rPr lang="en-US" sz="1050" b="1"/>
                  <a:pPr>
                    <a:defRPr sz="900" b="0" i="0" u="none" strike="noStrike" kern="1200" baseline="0">
                      <a:solidFill>
                        <a:schemeClr val="tx1">
                          <a:lumMod val="75000"/>
                          <a:lumOff val="25000"/>
                        </a:schemeClr>
                      </a:solidFill>
                      <a:latin typeface="+mn-lt"/>
                      <a:ea typeface="+mn-ea"/>
                      <a:cs typeface="+mn-cs"/>
                    </a:defRPr>
                  </a:pPr>
                  <a:t>[SERIES NAME]</a:t>
                </a:fld>
                <a:r>
                  <a:rPr lang="en-US" b="1" baseline="0"/>
                  <a:t>,</a:t>
                </a:r>
              </a:p>
              <a:p>
                <a:pPr>
                  <a:defRPr sz="900" b="0" i="0" u="none" strike="noStrike" kern="1200" baseline="0">
                    <a:solidFill>
                      <a:schemeClr val="tx1">
                        <a:lumMod val="75000"/>
                        <a:lumOff val="25000"/>
                      </a:schemeClr>
                    </a:solidFill>
                    <a:latin typeface="+mn-lt"/>
                    <a:ea typeface="+mn-ea"/>
                    <a:cs typeface="+mn-cs"/>
                  </a:defRPr>
                </a:pPr>
                <a:fld id="{6447117D-676D-4D51-94D7-4D53AA00EA9E}" type="VALUE">
                  <a:rPr lang="en-US" sz="1050" b="1" baseline="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4473600174978127"/>
                  <c:h val="0.32696777486147566"/>
                </c:manualLayout>
              </c15:layout>
              <c15:dlblFieldTable/>
              <c15:showDataLabelsRange val="0"/>
            </c:ext>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9"/>
        <c:spPr>
          <a:solidFill>
            <a:srgbClr val="FF0000"/>
          </a:solidFill>
          <a:ln>
            <a:noFill/>
          </a:ln>
          <a:effectLst/>
        </c:spPr>
        <c:dLbl>
          <c:idx val="0"/>
          <c:tx>
            <c:rich>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fld id="{F3F04F0C-071E-4CD0-9960-8DFE89543D84}" type="SERIESNAME">
                  <a:rPr lang="en-US" sz="1050" b="1"/>
                  <a:pPr algn="ctr">
                    <a:defRPr lang="en-US" sz="900" b="0" i="0" u="none" strike="noStrike" kern="1200" baseline="0">
                      <a:solidFill>
                        <a:schemeClr val="tx1">
                          <a:lumMod val="75000"/>
                          <a:lumOff val="25000"/>
                        </a:schemeClr>
                      </a:solidFill>
                      <a:latin typeface="+mn-lt"/>
                      <a:ea typeface="+mn-ea"/>
                      <a:cs typeface="+mn-cs"/>
                    </a:defRPr>
                  </a:pPr>
                  <a:t>[SERIES NAME]</a:t>
                </a:fld>
                <a:r>
                  <a:rPr lang="en-US" baseline="0"/>
                  <a:t>, </a:t>
                </a:r>
                <a:fld id="{6F508BB0-74DE-4633-85AD-C7226EF27282}" type="VALUE">
                  <a:rPr lang="en-US" sz="1050" b="1" baseline="0"/>
                  <a:pPr algn="ctr">
                    <a:defRPr lang="en-US"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3947360017497813"/>
                  <c:h val="0.17798629337999416"/>
                </c:manualLayout>
              </c15:layout>
              <c15:dlblFieldTable/>
              <c15:showDataLabelsRange val="0"/>
            </c:ext>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1"/>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AF5A9F-71FF-43BD-A64A-E875C80E1C6B}" type="SERIESNAME">
                  <a:rPr lang="en-US" sz="1050" b="1"/>
                  <a:pPr>
                    <a:defRPr sz="900" b="0" i="0" u="none" strike="noStrike" kern="1200" baseline="0">
                      <a:solidFill>
                        <a:schemeClr val="tx1">
                          <a:lumMod val="75000"/>
                          <a:lumOff val="25000"/>
                        </a:schemeClr>
                      </a:solidFill>
                      <a:latin typeface="+mn-lt"/>
                      <a:ea typeface="+mn-ea"/>
                      <a:cs typeface="+mn-cs"/>
                    </a:defRPr>
                  </a:pPr>
                  <a:t>[SERIES NAME]</a:t>
                </a:fld>
                <a:r>
                  <a:rPr lang="en-US" sz="1050" b="1" baseline="0"/>
                  <a:t>, </a:t>
                </a:r>
                <a:fld id="{BDAE0432-7BB8-4F36-8E1C-C1A971592E02}" type="VALUE">
                  <a:rPr lang="en-US" sz="1050" b="1" baseline="0"/>
                  <a:pPr>
                    <a:defRPr sz="900" b="0" i="0" u="none" strike="noStrike" kern="1200" baseline="0">
                      <a:solidFill>
                        <a:schemeClr val="tx1">
                          <a:lumMod val="75000"/>
                          <a:lumOff val="25000"/>
                        </a:schemeClr>
                      </a:solidFill>
                      <a:latin typeface="+mn-lt"/>
                      <a:ea typeface="+mn-ea"/>
                      <a:cs typeface="+mn-cs"/>
                    </a:defRPr>
                  </a:pPr>
                  <a:t>[VALUE]</a:t>
                </a:fld>
                <a:endParaRPr lang="en-US" sz="105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26140266841644799"/>
                  <c:h val="0.19194444444444445"/>
                </c:manualLayout>
              </c15:layout>
              <c15:dlblFieldTable/>
              <c15:showDataLabelsRange val="0"/>
            </c:ext>
          </c:extLst>
        </c:dLbl>
      </c:pivotFmt>
      <c:pivotFmt>
        <c:idx val="1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3"/>
        <c:spPr>
          <a:solidFill>
            <a:schemeClr val="accent3">
              <a:lumMod val="75000"/>
            </a:schemeClr>
          </a:solidFill>
          <a:ln>
            <a:noFill/>
          </a:ln>
          <a:effectLst/>
        </c:spPr>
        <c:dLbl>
          <c:idx val="0"/>
          <c:layout>
            <c:manualLayout>
              <c:x val="-1.4333119664894159E-3"/>
              <c:y val="-2.3807785123966928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ECE01FE-DEA2-4C56-9BE1-0CBE8438F40A}" type="SERIESNAME">
                  <a:rPr lang="en-US" sz="1050" b="1"/>
                  <a:pPr>
                    <a:defRPr/>
                  </a:pPr>
                  <a:t>[SERIES NAME]</a:t>
                </a:fld>
                <a:r>
                  <a:rPr lang="en-US" b="1" baseline="0"/>
                  <a:t>,</a:t>
                </a:r>
              </a:p>
              <a:p>
                <a:pPr>
                  <a:defRPr/>
                </a:pPr>
                <a:fld id="{6447117D-676D-4D51-94D7-4D53AA00EA9E}" type="VALUE">
                  <a:rPr lang="en-US" sz="1050" b="1"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4473610928606051"/>
                  <c:h val="0.34998365329619863"/>
                </c:manualLayout>
              </c15:layout>
              <c15:dlblFieldTable/>
              <c15:showDataLabelsRange val="0"/>
            </c:ext>
          </c:extLst>
        </c:dLbl>
      </c:pivotFmt>
      <c:pivotFmt>
        <c:idx val="1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5"/>
        <c:spPr>
          <a:solidFill>
            <a:srgbClr val="FF0000"/>
          </a:solidFill>
          <a:ln>
            <a:noFill/>
          </a:ln>
          <a:effectLst/>
        </c:spPr>
        <c:dLbl>
          <c:idx val="0"/>
          <c:tx>
            <c:rich>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fld id="{F3F04F0C-071E-4CD0-9960-8DFE89543D84}" type="SERIESNAME">
                  <a:rPr lang="en-US" sz="1050" b="1"/>
                  <a:pPr algn="ctr">
                    <a:defRPr lang="en-US"/>
                  </a:pPr>
                  <a:t>[SERIES NAME]</a:t>
                </a:fld>
                <a:r>
                  <a:rPr lang="en-US" baseline="0"/>
                  <a:t>, </a:t>
                </a:r>
                <a:fld id="{6F508BB0-74DE-4633-85AD-C7226EF27282}" type="VALUE">
                  <a:rPr lang="en-US" sz="1050" b="1" baseline="0"/>
                  <a:pPr algn="ctr">
                    <a:defRPr lang="en-US"/>
                  </a:pPr>
                  <a:t>[VALUE]</a:t>
                </a:fld>
                <a:endParaRPr lang="en-US" baseline="0"/>
              </a:p>
            </c:rich>
          </c:tx>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3947360017497813"/>
                  <c:h val="0.17798629337999416"/>
                </c:manualLayout>
              </c15:layout>
              <c15:dlblFieldTable/>
              <c15:showDataLabelsRange val="0"/>
            </c:ext>
          </c:extLst>
        </c:dLbl>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7"/>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AF5A9F-71FF-43BD-A64A-E875C80E1C6B}" type="SERIESNAME">
                  <a:rPr lang="en-US" sz="1050" b="1"/>
                  <a:pPr>
                    <a:defRPr/>
                  </a:pPr>
                  <a:t>[SERIES NAME]</a:t>
                </a:fld>
                <a:r>
                  <a:rPr lang="en-US" sz="1050" b="1" baseline="0"/>
                  <a:t>, </a:t>
                </a:r>
                <a:fld id="{BDAE0432-7BB8-4F36-8E1C-C1A971592E02}" type="VALUE">
                  <a:rPr lang="en-US" sz="1050" b="1" baseline="0"/>
                  <a:pPr>
                    <a:defRPr/>
                  </a:pPr>
                  <a:t>[VALUE]</a:t>
                </a:fld>
                <a:endParaRPr lang="en-US" sz="105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26140266841644799"/>
                  <c:h val="0.19194444444444445"/>
                </c:manualLayout>
              </c15:layout>
              <c15:dlblFieldTable/>
              <c15:showDataLabelsRange val="0"/>
            </c:ext>
          </c:extLst>
        </c:dLbl>
      </c:pivotFmt>
    </c:pivotFmts>
    <c:plotArea>
      <c:layout/>
      <c:barChart>
        <c:barDir val="bar"/>
        <c:grouping val="clustered"/>
        <c:varyColors val="0"/>
        <c:ser>
          <c:idx val="0"/>
          <c:order val="0"/>
          <c:tx>
            <c:strRef>
              <c:f>Sheet6!$A$3</c:f>
              <c:strCache>
                <c:ptCount val="1"/>
                <c:pt idx="0">
                  <c:v>Sum of Total assets</c:v>
                </c:pt>
              </c:strCache>
            </c:strRef>
          </c:tx>
          <c:spPr>
            <a:solidFill>
              <a:schemeClr val="accent3">
                <a:lumMod val="75000"/>
              </a:schemeClr>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0-8D7D-43C0-B2EB-8BAF20A5C993}"/>
              </c:ext>
            </c:extLst>
          </c:dPt>
          <c:dLbls>
            <c:dLbl>
              <c:idx val="0"/>
              <c:layout>
                <c:manualLayout>
                  <c:x val="-1.4333119664894159E-3"/>
                  <c:y val="-2.3807785123966928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ECE01FE-DEA2-4C56-9BE1-0CBE8438F40A}" type="SERIESNAME">
                      <a:rPr lang="en-US" sz="1050" b="1"/>
                      <a:pPr>
                        <a:defRPr/>
                      </a:pPr>
                      <a:t>[SERIES NAME]</a:t>
                    </a:fld>
                    <a:r>
                      <a:rPr lang="en-US" b="1" baseline="0"/>
                      <a:t>,</a:t>
                    </a:r>
                  </a:p>
                  <a:p>
                    <a:pPr>
                      <a:defRPr/>
                    </a:pPr>
                    <a:fld id="{6447117D-676D-4D51-94D7-4D53AA00EA9E}" type="VALUE">
                      <a:rPr lang="en-US" sz="1050" b="1" baseline="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4473610928606051"/>
                      <c:h val="0.34998365329619863"/>
                    </c:manualLayout>
                  </c15:layout>
                  <c15:dlblFieldTable/>
                  <c15:showDataLabelsRange val="0"/>
                </c:ext>
                <c:ext xmlns:c16="http://schemas.microsoft.com/office/drawing/2014/chart" uri="{C3380CC4-5D6E-409C-BE32-E72D297353CC}">
                  <c16:uniqueId val="{00000000-8D7D-43C0-B2EB-8BAF20A5C9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c:f>
              <c:strCache>
                <c:ptCount val="1"/>
                <c:pt idx="0">
                  <c:v>Total</c:v>
                </c:pt>
              </c:strCache>
            </c:strRef>
          </c:cat>
          <c:val>
            <c:numRef>
              <c:f>Sheet6!$A$4</c:f>
              <c:numCache>
                <c:formatCode>_-[$$-409]* #,##0_ ;_-[$$-409]* \-#,##0\ ;_-[$$-409]* "-"??_ ;_-@_ </c:formatCode>
                <c:ptCount val="1"/>
                <c:pt idx="0">
                  <c:v>512865</c:v>
                </c:pt>
              </c:numCache>
            </c:numRef>
          </c:val>
          <c:extLst>
            <c:ext xmlns:c16="http://schemas.microsoft.com/office/drawing/2014/chart" uri="{C3380CC4-5D6E-409C-BE32-E72D297353CC}">
              <c16:uniqueId val="{00000001-8D7D-43C0-B2EB-8BAF20A5C993}"/>
            </c:ext>
          </c:extLst>
        </c:ser>
        <c:ser>
          <c:idx val="1"/>
          <c:order val="1"/>
          <c:tx>
            <c:strRef>
              <c:f>Sheet6!$B$3</c:f>
              <c:strCache>
                <c:ptCount val="1"/>
                <c:pt idx="0">
                  <c:v>Sum of Total current liabilities</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8D7D-43C0-B2EB-8BAF20A5C993}"/>
              </c:ext>
            </c:extLst>
          </c:dPt>
          <c:dLbls>
            <c:dLbl>
              <c:idx val="0"/>
              <c:tx>
                <c:rich>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fld id="{F3F04F0C-071E-4CD0-9960-8DFE89543D84}" type="SERIESNAME">
                      <a:rPr lang="en-US" sz="1050" b="1"/>
                      <a:pPr algn="ctr">
                        <a:defRPr lang="en-US"/>
                      </a:pPr>
                      <a:t>[SERIES NAME]</a:t>
                    </a:fld>
                    <a:r>
                      <a:rPr lang="en-US" baseline="0"/>
                      <a:t>, </a:t>
                    </a:r>
                    <a:fld id="{6F508BB0-74DE-4633-85AD-C7226EF27282}" type="VALUE">
                      <a:rPr lang="en-US" sz="1050" b="1" baseline="0"/>
                      <a:pPr algn="ctr">
                        <a:defRPr lang="en-US"/>
                      </a:pPr>
                      <a:t>[VALUE]</a:t>
                    </a:fld>
                    <a:endParaRPr lang="en-US" baseline="0"/>
                  </a:p>
                </c:rich>
              </c:tx>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3947360017497813"/>
                      <c:h val="0.17798629337999416"/>
                    </c:manualLayout>
                  </c15:layout>
                  <c15:dlblFieldTable/>
                  <c15:showDataLabelsRange val="0"/>
                </c:ext>
                <c:ext xmlns:c16="http://schemas.microsoft.com/office/drawing/2014/chart" uri="{C3380CC4-5D6E-409C-BE32-E72D297353CC}">
                  <c16:uniqueId val="{00000002-8D7D-43C0-B2EB-8BAF20A5C993}"/>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c:f>
              <c:strCache>
                <c:ptCount val="1"/>
                <c:pt idx="0">
                  <c:v>Total</c:v>
                </c:pt>
              </c:strCache>
            </c:strRef>
          </c:cat>
          <c:val>
            <c:numRef>
              <c:f>Sheet6!$B$4</c:f>
              <c:numCache>
                <c:formatCode>_-[$$-409]* #,##0_ ;_-[$$-409]* \-#,##0\ ;_-[$$-409]* "-"??_ ;_-@_ </c:formatCode>
                <c:ptCount val="1"/>
                <c:pt idx="0">
                  <c:v>157099</c:v>
                </c:pt>
              </c:numCache>
            </c:numRef>
          </c:val>
          <c:extLst>
            <c:ext xmlns:c16="http://schemas.microsoft.com/office/drawing/2014/chart" uri="{C3380CC4-5D6E-409C-BE32-E72D297353CC}">
              <c16:uniqueId val="{00000003-8D7D-43C0-B2EB-8BAF20A5C993}"/>
            </c:ext>
          </c:extLst>
        </c:ser>
        <c:ser>
          <c:idx val="2"/>
          <c:order val="2"/>
          <c:tx>
            <c:strRef>
              <c:f>Sheet6!$C$3</c:f>
              <c:strCache>
                <c:ptCount val="1"/>
                <c:pt idx="0">
                  <c:v>Sum of Total equity</c:v>
                </c:pt>
              </c:strCache>
            </c:strRef>
          </c:tx>
          <c:spPr>
            <a:solidFill>
              <a:srgbClr val="00B05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8D7D-43C0-B2EB-8BAF20A5C993}"/>
              </c:ext>
            </c:extLst>
          </c:dPt>
          <c:dLbls>
            <c:dLbl>
              <c:idx val="0"/>
              <c:tx>
                <c:rich>
                  <a:bodyPr/>
                  <a:lstStyle/>
                  <a:p>
                    <a:fld id="{44AF5A9F-71FF-43BD-A64A-E875C80E1C6B}" type="SERIESNAME">
                      <a:rPr lang="en-US" sz="1050" b="1"/>
                      <a:pPr/>
                      <a:t>[SERIES NAME]</a:t>
                    </a:fld>
                    <a:r>
                      <a:rPr lang="en-US" sz="1050" b="1" baseline="0"/>
                      <a:t>, </a:t>
                    </a:r>
                    <a:fld id="{BDAE0432-7BB8-4F36-8E1C-C1A971592E02}" type="VALUE">
                      <a:rPr lang="en-US" sz="1050" b="1" baseline="0"/>
                      <a:pPr/>
                      <a:t>[VALUE]</a:t>
                    </a:fld>
                    <a:endParaRPr lang="en-US" sz="1050" b="1" baseline="0"/>
                  </a:p>
                </c:rich>
              </c:tx>
              <c:dLblPos val="outEnd"/>
              <c:showLegendKey val="0"/>
              <c:showVal val="1"/>
              <c:showCatName val="0"/>
              <c:showSerName val="1"/>
              <c:showPercent val="0"/>
              <c:showBubbleSize val="0"/>
              <c:extLst>
                <c:ext xmlns:c15="http://schemas.microsoft.com/office/drawing/2012/chart" uri="{CE6537A1-D6FC-4f65-9D91-7224C49458BB}">
                  <c15:layout>
                    <c:manualLayout>
                      <c:w val="0.26140266841644799"/>
                      <c:h val="0.19194444444444445"/>
                    </c:manualLayout>
                  </c15:layout>
                  <c15:dlblFieldTable/>
                  <c15:showDataLabelsRange val="0"/>
                </c:ext>
                <c:ext xmlns:c16="http://schemas.microsoft.com/office/drawing/2014/chart" uri="{C3380CC4-5D6E-409C-BE32-E72D297353CC}">
                  <c16:uniqueId val="{00000004-8D7D-43C0-B2EB-8BAF20A5C9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c:f>
              <c:strCache>
                <c:ptCount val="1"/>
                <c:pt idx="0">
                  <c:v>Total</c:v>
                </c:pt>
              </c:strCache>
            </c:strRef>
          </c:cat>
          <c:val>
            <c:numRef>
              <c:f>Sheet6!$C$4</c:f>
              <c:numCache>
                <c:formatCode>_-[$$-409]* #,##0_ ;_-[$$-409]* \-#,##0\ ;_-[$$-409]* "-"??_ ;_-@_ </c:formatCode>
                <c:ptCount val="1"/>
                <c:pt idx="0">
                  <c:v>171980</c:v>
                </c:pt>
              </c:numCache>
            </c:numRef>
          </c:val>
          <c:extLst>
            <c:ext xmlns:c16="http://schemas.microsoft.com/office/drawing/2014/chart" uri="{C3380CC4-5D6E-409C-BE32-E72D297353CC}">
              <c16:uniqueId val="{00000005-8D7D-43C0-B2EB-8BAF20A5C993}"/>
            </c:ext>
          </c:extLst>
        </c:ser>
        <c:dLbls>
          <c:dLblPos val="outEnd"/>
          <c:showLegendKey val="0"/>
          <c:showVal val="1"/>
          <c:showCatName val="0"/>
          <c:showSerName val="0"/>
          <c:showPercent val="0"/>
          <c:showBubbleSize val="0"/>
        </c:dLbls>
        <c:gapWidth val="145"/>
        <c:overlap val="-43"/>
        <c:axId val="1402425552"/>
        <c:axId val="1402423632"/>
      </c:barChart>
      <c:catAx>
        <c:axId val="1402425552"/>
        <c:scaling>
          <c:orientation val="minMax"/>
        </c:scaling>
        <c:delete val="1"/>
        <c:axPos val="l"/>
        <c:numFmt formatCode="General" sourceLinked="1"/>
        <c:majorTickMark val="none"/>
        <c:minorTickMark val="none"/>
        <c:tickLblPos val="nextTo"/>
        <c:crossAx val="1402423632"/>
        <c:crosses val="autoZero"/>
        <c:auto val="1"/>
        <c:lblAlgn val="ctr"/>
        <c:lblOffset val="100"/>
        <c:noMultiLvlLbl val="0"/>
      </c:catAx>
      <c:valAx>
        <c:axId val="1402423632"/>
        <c:scaling>
          <c:orientation val="minMax"/>
        </c:scaling>
        <c:delete val="0"/>
        <c:axPos val="b"/>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0242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[ColaPORT.xlsx]Sheet3!PivotTable7</c:name>
    <c:fmtId val="23"/>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OUR MAJOR ASSETS OVER THE YEARS                           </a:t>
            </a:r>
          </a:p>
          <a:p>
            <a:pPr algn="ctr" rtl="0">
              <a:defRPr lang="en-IN" b="1">
                <a:solidFill>
                  <a:sysClr val="windowText" lastClr="000000">
                    <a:lumMod val="65000"/>
                    <a:lumOff val="35000"/>
                  </a:sysClr>
                </a:solidFill>
              </a:defRPr>
            </a:pPr>
            <a:endParaRPr lang="en-IN" sz="1400" b="1" i="0" u="none" strike="noStrike" kern="1200" spc="0" baseline="0">
              <a:solidFill>
                <a:sysClr val="windowText" lastClr="000000">
                  <a:lumMod val="65000"/>
                  <a:lumOff val="35000"/>
                </a:sysClr>
              </a:solidFill>
              <a:latin typeface="+mn-lt"/>
              <a:ea typeface="+mn-ea"/>
              <a:cs typeface="+mn-cs"/>
            </a:endParaRPr>
          </a:p>
          <a:p>
            <a:pPr algn="ctr" rtl="0">
              <a:defRPr lang="en-IN" b="1">
                <a:solidFill>
                  <a:sysClr val="windowText" lastClr="000000">
                    <a:lumMod val="65000"/>
                    <a:lumOff val="35000"/>
                  </a:sysClr>
                </a:solidFill>
              </a:defRPr>
            </a:pPr>
            <a:endParaRPr lang="en-IN" sz="1400" b="1" i="0" u="none" strike="noStrike" kern="1200" spc="0" baseline="0">
              <a:solidFill>
                <a:sysClr val="windowText" lastClr="000000">
                  <a:lumMod val="65000"/>
                  <a:lumOff val="35000"/>
                </a:sysClr>
              </a:solidFill>
              <a:latin typeface="+mn-lt"/>
              <a:ea typeface="+mn-ea"/>
              <a:cs typeface="+mn-cs"/>
            </a:endParaRPr>
          </a:p>
          <a:p>
            <a:pPr algn="ctr" rtl="0">
              <a:defRPr lang="en-IN" b="1">
                <a:solidFill>
                  <a:sysClr val="windowText" lastClr="000000">
                    <a:lumMod val="65000"/>
                    <a:lumOff val="35000"/>
                  </a:sysClr>
                </a:solidFill>
              </a:defRPr>
            </a:pPr>
            <a:endParaRPr lang="en-IN" sz="1400" b="1" i="0" u="none" strike="noStrike" kern="1200" spc="0" baseline="0">
              <a:solidFill>
                <a:sysClr val="windowText" lastClr="000000">
                  <a:lumMod val="65000"/>
                  <a:lumOff val="35000"/>
                </a:sysClr>
              </a:solidFill>
              <a:latin typeface="+mn-lt"/>
              <a:ea typeface="+mn-ea"/>
              <a:cs typeface="+mn-cs"/>
            </a:endParaRPr>
          </a:p>
        </c:rich>
      </c:tx>
      <c:layout>
        <c:manualLayout>
          <c:xMode val="edge"/>
          <c:yMode val="edge"/>
          <c:x val="0.33727883152283039"/>
          <c:y val="2.5538884837948412E-3"/>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Sheet3!$A$3</c:f>
              <c:strCache>
                <c:ptCount val="1"/>
                <c:pt idx="0">
                  <c:v>Sum of Gross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c:f>
              <c:strCache>
                <c:ptCount val="1"/>
                <c:pt idx="0">
                  <c:v>Total</c:v>
                </c:pt>
              </c:strCache>
            </c:strRef>
          </c:cat>
          <c:val>
            <c:numRef>
              <c:f>Sheet3!$A$4</c:f>
              <c:numCache>
                <c:formatCode>_-[$$-409]* #,##0.00_ ;_-[$$-409]* \-#,##0.00\ ;_-[$$-409]* "-"??_ ;_-@_ </c:formatCode>
                <c:ptCount val="1"/>
                <c:pt idx="0">
                  <c:v>156262</c:v>
                </c:pt>
              </c:numCache>
            </c:numRef>
          </c:val>
          <c:extLst>
            <c:ext xmlns:c16="http://schemas.microsoft.com/office/drawing/2014/chart" uri="{C3380CC4-5D6E-409C-BE32-E72D297353CC}">
              <c16:uniqueId val="{00000000-0D7C-4083-ACE0-F50735744107}"/>
            </c:ext>
          </c:extLst>
        </c:ser>
        <c:ser>
          <c:idx val="1"/>
          <c:order val="1"/>
          <c:tx>
            <c:strRef>
              <c:f>Sheet3!$B$3</c:f>
              <c:strCache>
                <c:ptCount val="1"/>
                <c:pt idx="0">
                  <c:v>Sum of Total assets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c:f>
              <c:strCache>
                <c:ptCount val="1"/>
                <c:pt idx="0">
                  <c:v>Total</c:v>
                </c:pt>
              </c:strCache>
            </c:strRef>
          </c:cat>
          <c:val>
            <c:numRef>
              <c:f>Sheet3!$B$4</c:f>
              <c:numCache>
                <c:formatCode>_-[$$-409]* #,##0.00_ ;_-[$$-409]* \-#,##0.00\ ;_-[$$-409]* "-"??_ ;_-@_ </c:formatCode>
                <c:ptCount val="1"/>
                <c:pt idx="0">
                  <c:v>512865</c:v>
                </c:pt>
              </c:numCache>
            </c:numRef>
          </c:val>
          <c:extLst>
            <c:ext xmlns:c16="http://schemas.microsoft.com/office/drawing/2014/chart" uri="{C3380CC4-5D6E-409C-BE32-E72D297353CC}">
              <c16:uniqueId val="{00000001-0D7C-4083-ACE0-F50735744107}"/>
            </c:ext>
          </c:extLst>
        </c:ser>
        <c:ser>
          <c:idx val="2"/>
          <c:order val="2"/>
          <c:tx>
            <c:strRef>
              <c:f>Sheet3!$C$3</c:f>
              <c:strCache>
                <c:ptCount val="1"/>
                <c:pt idx="0">
                  <c:v>Sum of Total current liabilities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c:f>
              <c:strCache>
                <c:ptCount val="1"/>
                <c:pt idx="0">
                  <c:v>Total</c:v>
                </c:pt>
              </c:strCache>
            </c:strRef>
          </c:cat>
          <c:val>
            <c:numRef>
              <c:f>Sheet3!$C$4</c:f>
              <c:numCache>
                <c:formatCode>_-[$$-409]* #,##0.00_ ;_-[$$-409]* \-#,##0.00\ ;_-[$$-409]* "-"??_ ;_-@_ </c:formatCode>
                <c:ptCount val="1"/>
                <c:pt idx="0">
                  <c:v>157099</c:v>
                </c:pt>
              </c:numCache>
            </c:numRef>
          </c:val>
          <c:extLst>
            <c:ext xmlns:c16="http://schemas.microsoft.com/office/drawing/2014/chart" uri="{C3380CC4-5D6E-409C-BE32-E72D297353CC}">
              <c16:uniqueId val="{00000002-0D7C-4083-ACE0-F50735744107}"/>
            </c:ext>
          </c:extLst>
        </c:ser>
        <c:ser>
          <c:idx val="3"/>
          <c:order val="3"/>
          <c:tx>
            <c:strRef>
              <c:f>Sheet3!$D$3</c:f>
              <c:strCache>
                <c:ptCount val="1"/>
                <c:pt idx="0">
                  <c:v>Sum of Total equity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c:f>
              <c:strCache>
                <c:ptCount val="1"/>
                <c:pt idx="0">
                  <c:v>Total</c:v>
                </c:pt>
              </c:strCache>
            </c:strRef>
          </c:cat>
          <c:val>
            <c:numRef>
              <c:f>Sheet3!$D$4</c:f>
              <c:numCache>
                <c:formatCode>_-[$$-409]* #,##0.00_ ;_-[$$-409]* \-#,##0.00\ ;_-[$$-409]* "-"??_ ;_-@_ </c:formatCode>
                <c:ptCount val="1"/>
                <c:pt idx="0">
                  <c:v>171980</c:v>
                </c:pt>
              </c:numCache>
            </c:numRef>
          </c:val>
          <c:extLst>
            <c:ext xmlns:c16="http://schemas.microsoft.com/office/drawing/2014/chart" uri="{C3380CC4-5D6E-409C-BE32-E72D297353CC}">
              <c16:uniqueId val="{00000003-0D7C-4083-ACE0-F50735744107}"/>
            </c:ext>
          </c:extLst>
        </c:ser>
        <c:ser>
          <c:idx val="4"/>
          <c:order val="4"/>
          <c:tx>
            <c:strRef>
              <c:f>Sheet3!$E$3</c:f>
              <c:strCache>
                <c:ptCount val="1"/>
                <c:pt idx="0">
                  <c:v>Sum of Operating Income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c:f>
              <c:strCache>
                <c:ptCount val="1"/>
                <c:pt idx="0">
                  <c:v>Total</c:v>
                </c:pt>
              </c:strCache>
            </c:strRef>
          </c:cat>
          <c:val>
            <c:numRef>
              <c:f>Sheet3!$E$4</c:f>
              <c:numCache>
                <c:formatCode>_-[$$-409]* #,##0.00_ ;_-[$$-409]* \-#,##0.00\ ;_-[$$-409]* "-"??_ ;_-@_ </c:formatCode>
                <c:ptCount val="1"/>
                <c:pt idx="0">
                  <c:v>54849</c:v>
                </c:pt>
              </c:numCache>
            </c:numRef>
          </c:val>
          <c:extLst>
            <c:ext xmlns:c16="http://schemas.microsoft.com/office/drawing/2014/chart" uri="{C3380CC4-5D6E-409C-BE32-E72D297353CC}">
              <c16:uniqueId val="{00000004-0D7C-4083-ACE0-F50735744107}"/>
            </c:ext>
          </c:extLst>
        </c:ser>
        <c:dLbls>
          <c:dLblPos val="outEnd"/>
          <c:showLegendKey val="0"/>
          <c:showVal val="1"/>
          <c:showCatName val="0"/>
          <c:showSerName val="0"/>
          <c:showPercent val="0"/>
          <c:showBubbleSize val="0"/>
        </c:dLbls>
        <c:gapWidth val="45"/>
        <c:overlap val="-27"/>
        <c:axId val="1393496112"/>
        <c:axId val="1393494672"/>
      </c:barChart>
      <c:catAx>
        <c:axId val="1393496112"/>
        <c:scaling>
          <c:orientation val="minMax"/>
        </c:scaling>
        <c:delete val="1"/>
        <c:axPos val="b"/>
        <c:numFmt formatCode="General" sourceLinked="1"/>
        <c:majorTickMark val="none"/>
        <c:minorTickMark val="none"/>
        <c:tickLblPos val="nextTo"/>
        <c:crossAx val="1393494672"/>
        <c:crosses val="autoZero"/>
        <c:auto val="1"/>
        <c:lblAlgn val="ctr"/>
        <c:lblOffset val="100"/>
        <c:noMultiLvlLbl val="0"/>
      </c:catAx>
      <c:valAx>
        <c:axId val="1393494672"/>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39349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[ColaPORT.xlsx]Sheet11!PivotTable12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WHAT IS CURRENT FACTORY</a:t>
            </a:r>
            <a:r>
              <a:rPr lang="en-US" baseline="0"/>
              <a:t> PROFITS</a:t>
            </a:r>
            <a:r>
              <a:rPr lang="en-US"/>
              <a:t> OF OUR COMPANY?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7.1145888013998348E-2"/>
              <c:y val="9.0909090909090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0125109361329834E-2"/>
              <c:y val="-9.090909090909091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1208442694663166E-2"/>
              <c:y val="-8.18181818181818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6.5590332458442688E-2"/>
              <c:y val="0.11818181818181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6145888013998246E-2"/>
              <c:y val="0.10909090909090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8.2256999125109365E-2"/>
              <c:y val="5.4545454545454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7.5652887139107658E-2"/>
              <c:y val="-6.3636363636363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8.3986220472440948E-2"/>
              <c:y val="-5.4545454545454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7.5652887139107616E-2"/>
              <c:y val="9.0909090909090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5996432087283326E-2"/>
              <c:y val="-9.2063475954397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0"/>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8-A464-48A1-8657-220420DAE22D}"/>
              </c:ext>
            </c:extLst>
          </c:dPt>
          <c:dPt>
            <c:idx val="1"/>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9-A464-48A1-8657-220420DAE22D}"/>
              </c:ext>
            </c:extLst>
          </c:dPt>
          <c:dPt>
            <c:idx val="2"/>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7-A464-48A1-8657-220420DAE22D}"/>
              </c:ext>
            </c:extLst>
          </c:dPt>
          <c:dLbls>
            <c:dLbl>
              <c:idx val="0"/>
              <c:layout>
                <c:manualLayout>
                  <c:x val="-7.5652887139107616E-2"/>
                  <c:y val="9.09090909090909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64-48A1-8657-220420DAE22D}"/>
                </c:ext>
              </c:extLst>
            </c:dLbl>
            <c:dLbl>
              <c:idx val="1"/>
              <c:layout>
                <c:manualLayout>
                  <c:x val="-7.5652887139107658E-2"/>
                  <c:y val="-6.363636363636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64-48A1-8657-220420DAE22D}"/>
                </c:ext>
              </c:extLst>
            </c:dLbl>
            <c:dLbl>
              <c:idx val="2"/>
              <c:layout>
                <c:manualLayout>
                  <c:x val="-9.5996432087283326E-2"/>
                  <c:y val="-9.20634759543973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64-48A1-8657-220420DAE22D}"/>
                </c:ext>
              </c:extLst>
            </c:dLbl>
            <c:dLbl>
              <c:idx val="3"/>
              <c:layout>
                <c:manualLayout>
                  <c:x val="-9.6145888013998246E-2"/>
                  <c:y val="0.109090909090909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64-48A1-8657-220420DAE22D}"/>
                </c:ext>
              </c:extLst>
            </c:dLbl>
            <c:dLbl>
              <c:idx val="4"/>
              <c:layout>
                <c:manualLayout>
                  <c:x val="-6.5590332458442688E-2"/>
                  <c:y val="0.118181818181818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64-48A1-8657-220420DAE22D}"/>
                </c:ext>
              </c:extLst>
            </c:dLbl>
            <c:dLbl>
              <c:idx val="5"/>
              <c:layout>
                <c:manualLayout>
                  <c:x val="-7.1145888013998348E-2"/>
                  <c:y val="9.090909090909091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Sheet11!$A$4:$A$10</c:f>
              <c:strCache>
                <c:ptCount val="6"/>
                <c:pt idx="0">
                  <c:v>FY '10</c:v>
                </c:pt>
                <c:pt idx="1">
                  <c:v>FY '11</c:v>
                </c:pt>
                <c:pt idx="2">
                  <c:v>FY '13</c:v>
                </c:pt>
                <c:pt idx="3">
                  <c:v>FY '14</c:v>
                </c:pt>
                <c:pt idx="4">
                  <c:v>FY '15</c:v>
                </c:pt>
                <c:pt idx="5">
                  <c:v>FY '17</c:v>
                </c:pt>
              </c:strCache>
            </c:strRef>
          </c:cat>
          <c:val>
            <c:numRef>
              <c:f>Sheet11!$B$4:$B$10</c:f>
              <c:numCache>
                <c:formatCode>_-[$$-409]* #,##0.00_ ;_-[$$-409]* \-#,##0.00\ ;_-[$$-409]* "-"??_ ;_-@_ </c:formatCode>
                <c:ptCount val="6"/>
                <c:pt idx="0">
                  <c:v>1496</c:v>
                </c:pt>
                <c:pt idx="1">
                  <c:v>4286</c:v>
                </c:pt>
                <c:pt idx="2">
                  <c:v>1972</c:v>
                </c:pt>
                <c:pt idx="3">
                  <c:v>-1456</c:v>
                </c:pt>
                <c:pt idx="4">
                  <c:v>-1649</c:v>
                </c:pt>
                <c:pt idx="5">
                  <c:v>-2477</c:v>
                </c:pt>
              </c:numCache>
            </c:numRef>
          </c:val>
          <c:smooth val="0"/>
          <c:extLst>
            <c:ext xmlns:c16="http://schemas.microsoft.com/office/drawing/2014/chart" uri="{C3380CC4-5D6E-409C-BE32-E72D297353CC}">
              <c16:uniqueId val="{00000000-A464-48A1-8657-220420DAE22D}"/>
            </c:ext>
          </c:extLst>
        </c:ser>
        <c:dLbls>
          <c:dLblPos val="ctr"/>
          <c:showLegendKey val="0"/>
          <c:showVal val="1"/>
          <c:showCatName val="0"/>
          <c:showSerName val="0"/>
          <c:showPercent val="0"/>
          <c:showBubbleSize val="0"/>
        </c:dLbls>
        <c:marker val="1"/>
        <c:smooth val="0"/>
        <c:axId val="1377466384"/>
        <c:axId val="1377452464"/>
      </c:lineChart>
      <c:catAx>
        <c:axId val="137746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lgn="ctr">
              <a:defRPr lang="en-US" sz="1050" b="1" i="0" u="none" strike="noStrike" kern="1200" cap="all" spc="120" normalizeH="0" baseline="0">
                <a:solidFill>
                  <a:schemeClr val="tx1">
                    <a:lumMod val="65000"/>
                    <a:lumOff val="35000"/>
                  </a:schemeClr>
                </a:solidFill>
                <a:latin typeface="+mn-lt"/>
                <a:ea typeface="+mn-ea"/>
                <a:cs typeface="+mn-cs"/>
              </a:defRPr>
            </a:pPr>
            <a:endParaRPr lang="en-US"/>
          </a:p>
        </c:txPr>
        <c:crossAx val="1377452464"/>
        <c:crosses val="autoZero"/>
        <c:auto val="0"/>
        <c:lblAlgn val="ctr"/>
        <c:lblOffset val="100"/>
        <c:noMultiLvlLbl val="0"/>
      </c:catAx>
      <c:valAx>
        <c:axId val="1377452464"/>
        <c:scaling>
          <c:orientation val="minMax"/>
        </c:scaling>
        <c:delete val="0"/>
        <c:axPos val="l"/>
        <c:numFmt formatCode="\$0,&quot;K&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137746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Sheet2!$B$1</c:f>
              <c:strCache>
                <c:ptCount val="1"/>
                <c:pt idx="0">
                  <c:v>FY '09</c:v>
                </c:pt>
              </c:strCache>
            </c:strRef>
          </c:tx>
          <c:spPr>
            <a:solidFill>
              <a:schemeClr val="accent1"/>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Sheet2!$B$2:$B$17</c:f>
              <c:numCache>
                <c:formatCode>_-[$$-409]* #,##0.00_ ;_-[$$-409]* \-#,##0.00\ ;_-[$$-409]* "-"??_ ;_-@_ </c:formatCode>
                <c:ptCount val="16"/>
                <c:pt idx="0">
                  <c:v>8231</c:v>
                </c:pt>
                <c:pt idx="1">
                  <c:v>19902</c:v>
                </c:pt>
                <c:pt idx="2">
                  <c:v>8946</c:v>
                </c:pt>
                <c:pt idx="3">
                  <c:v>6906</c:v>
                </c:pt>
                <c:pt idx="4">
                  <c:v>6824</c:v>
                </c:pt>
                <c:pt idx="5">
                  <c:v>9151</c:v>
                </c:pt>
                <c:pt idx="6">
                  <c:v>17551</c:v>
                </c:pt>
                <c:pt idx="7">
                  <c:v>48671</c:v>
                </c:pt>
                <c:pt idx="8">
                  <c:v>13721</c:v>
                </c:pt>
                <c:pt idx="9">
                  <c:v>24799</c:v>
                </c:pt>
                <c:pt idx="10">
                  <c:v>25346</c:v>
                </c:pt>
                <c:pt idx="11">
                  <c:v>48671</c:v>
                </c:pt>
                <c:pt idx="12">
                  <c:v>8186</c:v>
                </c:pt>
                <c:pt idx="13">
                  <c:v>-4149</c:v>
                </c:pt>
                <c:pt idx="14">
                  <c:v>-2293</c:v>
                </c:pt>
                <c:pt idx="15">
                  <c:v>2320</c:v>
                </c:pt>
              </c:numCache>
            </c:numRef>
          </c:val>
          <c:extLst>
            <c:ext xmlns:c16="http://schemas.microsoft.com/office/drawing/2014/chart" uri="{C3380CC4-5D6E-409C-BE32-E72D297353CC}">
              <c16:uniqueId val="{00000000-021B-475D-BE23-AF9C8300E7B1}"/>
            </c:ext>
          </c:extLst>
        </c:ser>
        <c:ser>
          <c:idx val="1"/>
          <c:order val="1"/>
          <c:tx>
            <c:strRef>
              <c:f>Sheet2!$C$1</c:f>
              <c:strCache>
                <c:ptCount val="1"/>
                <c:pt idx="0">
                  <c:v>FY '10</c:v>
                </c:pt>
              </c:strCache>
            </c:strRef>
          </c:tx>
          <c:spPr>
            <a:solidFill>
              <a:schemeClr val="accent2"/>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Sheet2!$C$2:$C$17</c:f>
              <c:numCache>
                <c:formatCode>_-[$$-409]* #,##0.00_ ;_-[$$-409]* \-#,##0.00\ ;_-[$$-409]* "-"??_ ;_-@_ </c:formatCode>
                <c:ptCount val="16"/>
                <c:pt idx="0">
                  <c:v>8413</c:v>
                </c:pt>
                <c:pt idx="1">
                  <c:v>22426</c:v>
                </c:pt>
                <c:pt idx="2">
                  <c:v>14207</c:v>
                </c:pt>
                <c:pt idx="3">
                  <c:v>11837</c:v>
                </c:pt>
                <c:pt idx="4">
                  <c:v>11787</c:v>
                </c:pt>
                <c:pt idx="5">
                  <c:v>11199</c:v>
                </c:pt>
                <c:pt idx="6">
                  <c:v>21579</c:v>
                </c:pt>
                <c:pt idx="7">
                  <c:v>72921</c:v>
                </c:pt>
                <c:pt idx="8">
                  <c:v>18508</c:v>
                </c:pt>
                <c:pt idx="9">
                  <c:v>31003</c:v>
                </c:pt>
                <c:pt idx="10">
                  <c:v>31317</c:v>
                </c:pt>
                <c:pt idx="11">
                  <c:v>72921</c:v>
                </c:pt>
                <c:pt idx="12">
                  <c:v>9532</c:v>
                </c:pt>
                <c:pt idx="13">
                  <c:v>-4405</c:v>
                </c:pt>
                <c:pt idx="14">
                  <c:v>-3465</c:v>
                </c:pt>
                <c:pt idx="15">
                  <c:v>1496</c:v>
                </c:pt>
              </c:numCache>
            </c:numRef>
          </c:val>
          <c:extLst>
            <c:ext xmlns:c16="http://schemas.microsoft.com/office/drawing/2014/chart" uri="{C3380CC4-5D6E-409C-BE32-E72D297353CC}">
              <c16:uniqueId val="{00000001-021B-475D-BE23-AF9C8300E7B1}"/>
            </c:ext>
          </c:extLst>
        </c:ser>
        <c:ser>
          <c:idx val="2"/>
          <c:order val="2"/>
          <c:tx>
            <c:strRef>
              <c:f>Sheet2!$D$1</c:f>
              <c:strCache>
                <c:ptCount val="1"/>
                <c:pt idx="0">
                  <c:v>FY '11</c:v>
                </c:pt>
              </c:strCache>
            </c:strRef>
          </c:tx>
          <c:spPr>
            <a:solidFill>
              <a:schemeClr val="accent3"/>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Sheet2!$D$2:$D$17</c:f>
              <c:numCache>
                <c:formatCode>_-[$$-409]* #,##0.00_ ;_-[$$-409]* \-#,##0.00\ ;_-[$$-409]* "-"??_ ;_-@_ </c:formatCode>
                <c:ptCount val="16"/>
                <c:pt idx="0">
                  <c:v>10173</c:v>
                </c:pt>
                <c:pt idx="1">
                  <c:v>28327</c:v>
                </c:pt>
                <c:pt idx="2">
                  <c:v>11458</c:v>
                </c:pt>
                <c:pt idx="3">
                  <c:v>8646</c:v>
                </c:pt>
                <c:pt idx="4">
                  <c:v>8584</c:v>
                </c:pt>
                <c:pt idx="5">
                  <c:v>13891</c:v>
                </c:pt>
                <c:pt idx="6">
                  <c:v>25497</c:v>
                </c:pt>
                <c:pt idx="7">
                  <c:v>79974</c:v>
                </c:pt>
                <c:pt idx="8">
                  <c:v>24283</c:v>
                </c:pt>
                <c:pt idx="9">
                  <c:v>31635</c:v>
                </c:pt>
                <c:pt idx="10">
                  <c:v>31921</c:v>
                </c:pt>
                <c:pt idx="11">
                  <c:v>79974</c:v>
                </c:pt>
                <c:pt idx="12">
                  <c:v>9474</c:v>
                </c:pt>
                <c:pt idx="13">
                  <c:v>-2524</c:v>
                </c:pt>
                <c:pt idx="14">
                  <c:v>-2234</c:v>
                </c:pt>
                <c:pt idx="15">
                  <c:v>4286</c:v>
                </c:pt>
              </c:numCache>
            </c:numRef>
          </c:val>
          <c:extLst>
            <c:ext xmlns:c16="http://schemas.microsoft.com/office/drawing/2014/chart" uri="{C3380CC4-5D6E-409C-BE32-E72D297353CC}">
              <c16:uniqueId val="{00000002-021B-475D-BE23-AF9C8300E7B1}"/>
            </c:ext>
          </c:extLst>
        </c:ser>
        <c:ser>
          <c:idx val="3"/>
          <c:order val="3"/>
          <c:tx>
            <c:strRef>
              <c:f>Sheet2!$E$1</c:f>
              <c:strCache>
                <c:ptCount val="1"/>
                <c:pt idx="0">
                  <c:v>FY '12</c:v>
                </c:pt>
              </c:strCache>
            </c:strRef>
          </c:tx>
          <c:spPr>
            <a:solidFill>
              <a:schemeClr val="accent4"/>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Sheet2!$E$2:$E$17</c:f>
              <c:numCache>
                <c:formatCode>_-[$$-409]* #,##0.00_ ;_-[$$-409]* \-#,##0.00\ ;_-[$$-409]* "-"??_ ;_-@_ </c:formatCode>
                <c:ptCount val="16"/>
                <c:pt idx="0">
                  <c:v>10779</c:v>
                </c:pt>
                <c:pt idx="1">
                  <c:v>28964</c:v>
                </c:pt>
                <c:pt idx="2">
                  <c:v>11809</c:v>
                </c:pt>
                <c:pt idx="3">
                  <c:v>9086</c:v>
                </c:pt>
                <c:pt idx="4">
                  <c:v>9019</c:v>
                </c:pt>
                <c:pt idx="5">
                  <c:v>13459</c:v>
                </c:pt>
                <c:pt idx="6">
                  <c:v>30328</c:v>
                </c:pt>
                <c:pt idx="7">
                  <c:v>86174</c:v>
                </c:pt>
                <c:pt idx="8">
                  <c:v>27821</c:v>
                </c:pt>
                <c:pt idx="9">
                  <c:v>32790</c:v>
                </c:pt>
                <c:pt idx="10">
                  <c:v>33168</c:v>
                </c:pt>
                <c:pt idx="11">
                  <c:v>86174</c:v>
                </c:pt>
                <c:pt idx="12">
                  <c:v>10645</c:v>
                </c:pt>
                <c:pt idx="13">
                  <c:v>-11404</c:v>
                </c:pt>
                <c:pt idx="14">
                  <c:v>-3347</c:v>
                </c:pt>
                <c:pt idx="15">
                  <c:v>-4361</c:v>
                </c:pt>
              </c:numCache>
            </c:numRef>
          </c:val>
          <c:extLst>
            <c:ext xmlns:c16="http://schemas.microsoft.com/office/drawing/2014/chart" uri="{C3380CC4-5D6E-409C-BE32-E72D297353CC}">
              <c16:uniqueId val="{00000003-021B-475D-BE23-AF9C8300E7B1}"/>
            </c:ext>
          </c:extLst>
        </c:ser>
        <c:ser>
          <c:idx val="4"/>
          <c:order val="4"/>
          <c:tx>
            <c:strRef>
              <c:f>Sheet2!$F$1</c:f>
              <c:strCache>
                <c:ptCount val="1"/>
                <c:pt idx="0">
                  <c:v>FY '13</c:v>
                </c:pt>
              </c:strCache>
            </c:strRef>
          </c:tx>
          <c:spPr>
            <a:solidFill>
              <a:schemeClr val="accent5"/>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Sheet2!$F$2:$F$17</c:f>
              <c:numCache>
                <c:formatCode>_-[$$-409]* #,##0.00_ ;_-[$$-409]* \-#,##0.00\ ;_-[$$-409]* "-"??_ ;_-@_ </c:formatCode>
                <c:ptCount val="16"/>
                <c:pt idx="0">
                  <c:v>10228</c:v>
                </c:pt>
                <c:pt idx="1">
                  <c:v>28433</c:v>
                </c:pt>
                <c:pt idx="2">
                  <c:v>11477</c:v>
                </c:pt>
                <c:pt idx="3">
                  <c:v>8626</c:v>
                </c:pt>
                <c:pt idx="4">
                  <c:v>8584</c:v>
                </c:pt>
                <c:pt idx="5">
                  <c:v>17121</c:v>
                </c:pt>
                <c:pt idx="6">
                  <c:v>31304</c:v>
                </c:pt>
                <c:pt idx="7">
                  <c:v>90055</c:v>
                </c:pt>
                <c:pt idx="8">
                  <c:v>27811</c:v>
                </c:pt>
                <c:pt idx="9">
                  <c:v>33173</c:v>
                </c:pt>
                <c:pt idx="10">
                  <c:v>33440</c:v>
                </c:pt>
                <c:pt idx="11">
                  <c:v>90055</c:v>
                </c:pt>
                <c:pt idx="12">
                  <c:v>10542</c:v>
                </c:pt>
                <c:pt idx="13">
                  <c:v>-4214</c:v>
                </c:pt>
                <c:pt idx="14">
                  <c:v>-3745</c:v>
                </c:pt>
                <c:pt idx="15">
                  <c:v>1972</c:v>
                </c:pt>
              </c:numCache>
            </c:numRef>
          </c:val>
          <c:extLst>
            <c:ext xmlns:c16="http://schemas.microsoft.com/office/drawing/2014/chart" uri="{C3380CC4-5D6E-409C-BE32-E72D297353CC}">
              <c16:uniqueId val="{00000004-021B-475D-BE23-AF9C8300E7B1}"/>
            </c:ext>
          </c:extLst>
        </c:ser>
        <c:ser>
          <c:idx val="5"/>
          <c:order val="5"/>
          <c:tx>
            <c:strRef>
              <c:f>Sheet2!$G$1</c:f>
              <c:strCache>
                <c:ptCount val="1"/>
                <c:pt idx="0">
                  <c:v>FY '14</c:v>
                </c:pt>
              </c:strCache>
            </c:strRef>
          </c:tx>
          <c:spPr>
            <a:solidFill>
              <a:schemeClr val="accent6"/>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Sheet2!$G$2:$G$17</c:f>
              <c:numCache>
                <c:formatCode>_-[$$-409]* #,##0.00_ ;_-[$$-409]* \-#,##0.00\ ;_-[$$-409]* "-"??_ ;_-@_ </c:formatCode>
                <c:ptCount val="16"/>
                <c:pt idx="0">
                  <c:v>9708</c:v>
                </c:pt>
                <c:pt idx="1">
                  <c:v>28109</c:v>
                </c:pt>
                <c:pt idx="2">
                  <c:v>9325</c:v>
                </c:pt>
                <c:pt idx="3">
                  <c:v>7124</c:v>
                </c:pt>
                <c:pt idx="4">
                  <c:v>7098</c:v>
                </c:pt>
                <c:pt idx="5">
                  <c:v>18010</c:v>
                </c:pt>
                <c:pt idx="6">
                  <c:v>32986</c:v>
                </c:pt>
                <c:pt idx="7">
                  <c:v>92023</c:v>
                </c:pt>
                <c:pt idx="8">
                  <c:v>32374</c:v>
                </c:pt>
                <c:pt idx="9">
                  <c:v>30320</c:v>
                </c:pt>
                <c:pt idx="10">
                  <c:v>30561</c:v>
                </c:pt>
                <c:pt idx="11">
                  <c:v>92023</c:v>
                </c:pt>
                <c:pt idx="12">
                  <c:v>10615</c:v>
                </c:pt>
                <c:pt idx="13">
                  <c:v>-7506</c:v>
                </c:pt>
                <c:pt idx="14">
                  <c:v>-3631</c:v>
                </c:pt>
                <c:pt idx="15">
                  <c:v>-1456</c:v>
                </c:pt>
              </c:numCache>
            </c:numRef>
          </c:val>
          <c:extLst>
            <c:ext xmlns:c16="http://schemas.microsoft.com/office/drawing/2014/chart" uri="{C3380CC4-5D6E-409C-BE32-E72D297353CC}">
              <c16:uniqueId val="{00000005-021B-475D-BE23-AF9C8300E7B1}"/>
            </c:ext>
          </c:extLst>
        </c:ser>
        <c:ser>
          <c:idx val="6"/>
          <c:order val="6"/>
          <c:tx>
            <c:strRef>
              <c:f>Sheet2!$H$1</c:f>
              <c:strCache>
                <c:ptCount val="1"/>
                <c:pt idx="0">
                  <c:v>FY '15</c:v>
                </c:pt>
              </c:strCache>
            </c:strRef>
          </c:tx>
          <c:spPr>
            <a:solidFill>
              <a:schemeClr val="accent1">
                <a:lumMod val="60000"/>
              </a:schemeClr>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Sheet2!$H$2:$H$17</c:f>
              <c:numCache>
                <c:formatCode>_-[$$-409]* #,##0.00_ ;_-[$$-409]* \-#,##0.00\ ;_-[$$-409]* "-"??_ ;_-@_ </c:formatCode>
                <c:ptCount val="16"/>
                <c:pt idx="0">
                  <c:v>8728</c:v>
                </c:pt>
                <c:pt idx="1">
                  <c:v>26812</c:v>
                </c:pt>
                <c:pt idx="2">
                  <c:v>9605</c:v>
                </c:pt>
                <c:pt idx="3">
                  <c:v>7366</c:v>
                </c:pt>
                <c:pt idx="4">
                  <c:v>7351</c:v>
                </c:pt>
                <c:pt idx="5">
                  <c:v>15631</c:v>
                </c:pt>
                <c:pt idx="6">
                  <c:v>33395</c:v>
                </c:pt>
                <c:pt idx="7">
                  <c:v>89996</c:v>
                </c:pt>
                <c:pt idx="8">
                  <c:v>26929</c:v>
                </c:pt>
                <c:pt idx="9">
                  <c:v>25554</c:v>
                </c:pt>
                <c:pt idx="10">
                  <c:v>25764</c:v>
                </c:pt>
                <c:pt idx="11">
                  <c:v>89996</c:v>
                </c:pt>
                <c:pt idx="12">
                  <c:v>10528</c:v>
                </c:pt>
                <c:pt idx="13">
                  <c:v>-6186</c:v>
                </c:pt>
                <c:pt idx="14">
                  <c:v>-5113</c:v>
                </c:pt>
                <c:pt idx="15">
                  <c:v>-1649</c:v>
                </c:pt>
              </c:numCache>
            </c:numRef>
          </c:val>
          <c:extLst>
            <c:ext xmlns:c16="http://schemas.microsoft.com/office/drawing/2014/chart" uri="{C3380CC4-5D6E-409C-BE32-E72D297353CC}">
              <c16:uniqueId val="{00000006-021B-475D-BE23-AF9C8300E7B1}"/>
            </c:ext>
          </c:extLst>
        </c:ser>
        <c:ser>
          <c:idx val="7"/>
          <c:order val="7"/>
          <c:tx>
            <c:strRef>
              <c:f>Sheet2!$I$1</c:f>
              <c:strCache>
                <c:ptCount val="1"/>
                <c:pt idx="0">
                  <c:v>FY '16</c:v>
                </c:pt>
              </c:strCache>
            </c:strRef>
          </c:tx>
          <c:spPr>
            <a:solidFill>
              <a:schemeClr val="accent2">
                <a:lumMod val="60000"/>
              </a:schemeClr>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Sheet2!$I$2:$I$17</c:f>
              <c:numCache>
                <c:formatCode>_-[$$-409]* #,##0.00_ ;_-[$$-409]* \-#,##0.00\ ;_-[$$-409]* "-"??_ ;_-@_ </c:formatCode>
                <c:ptCount val="16"/>
                <c:pt idx="0">
                  <c:v>8626</c:v>
                </c:pt>
                <c:pt idx="1">
                  <c:v>25398</c:v>
                </c:pt>
                <c:pt idx="2">
                  <c:v>8136</c:v>
                </c:pt>
                <c:pt idx="3">
                  <c:v>6550</c:v>
                </c:pt>
                <c:pt idx="4">
                  <c:v>6527</c:v>
                </c:pt>
                <c:pt idx="5">
                  <c:v>18150</c:v>
                </c:pt>
                <c:pt idx="6">
                  <c:v>34010</c:v>
                </c:pt>
                <c:pt idx="7">
                  <c:v>87270</c:v>
                </c:pt>
                <c:pt idx="8">
                  <c:v>26532</c:v>
                </c:pt>
                <c:pt idx="9">
                  <c:v>23062</c:v>
                </c:pt>
                <c:pt idx="10">
                  <c:v>23220</c:v>
                </c:pt>
                <c:pt idx="11">
                  <c:v>87270</c:v>
                </c:pt>
                <c:pt idx="12">
                  <c:v>8796</c:v>
                </c:pt>
                <c:pt idx="13">
                  <c:v>-999</c:v>
                </c:pt>
                <c:pt idx="14">
                  <c:v>-6545</c:v>
                </c:pt>
                <c:pt idx="15">
                  <c:v>1246</c:v>
                </c:pt>
              </c:numCache>
            </c:numRef>
          </c:val>
          <c:extLst>
            <c:ext xmlns:c16="http://schemas.microsoft.com/office/drawing/2014/chart" uri="{C3380CC4-5D6E-409C-BE32-E72D297353CC}">
              <c16:uniqueId val="{00000007-021B-475D-BE23-AF9C8300E7B1}"/>
            </c:ext>
          </c:extLst>
        </c:ser>
        <c:ser>
          <c:idx val="8"/>
          <c:order val="8"/>
          <c:tx>
            <c:strRef>
              <c:f>Sheet2!$J$1</c:f>
              <c:strCache>
                <c:ptCount val="1"/>
                <c:pt idx="0">
                  <c:v>FY '17</c:v>
                </c:pt>
              </c:strCache>
            </c:strRef>
          </c:tx>
          <c:spPr>
            <a:solidFill>
              <a:schemeClr val="accent3">
                <a:lumMod val="60000"/>
              </a:schemeClr>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Sheet2!$J$2:$J$17</c:f>
              <c:numCache>
                <c:formatCode>_-[$$-409]* #,##0.00_ ;_-[$$-409]* \-#,##0.00\ ;_-[$$-409]* "-"??_ ;_-@_ </c:formatCode>
                <c:ptCount val="16"/>
                <c:pt idx="0">
                  <c:v>7599</c:v>
                </c:pt>
                <c:pt idx="1">
                  <c:v>22155</c:v>
                </c:pt>
                <c:pt idx="2">
                  <c:v>6742</c:v>
                </c:pt>
                <c:pt idx="3">
                  <c:v>1283</c:v>
                </c:pt>
                <c:pt idx="4">
                  <c:v>1248</c:v>
                </c:pt>
                <c:pt idx="5">
                  <c:v>15358</c:v>
                </c:pt>
                <c:pt idx="6">
                  <c:v>36545</c:v>
                </c:pt>
                <c:pt idx="7">
                  <c:v>87896</c:v>
                </c:pt>
                <c:pt idx="8">
                  <c:v>27194</c:v>
                </c:pt>
                <c:pt idx="9">
                  <c:v>17072</c:v>
                </c:pt>
                <c:pt idx="10">
                  <c:v>18977</c:v>
                </c:pt>
                <c:pt idx="11">
                  <c:v>87896</c:v>
                </c:pt>
                <c:pt idx="12">
                  <c:v>6930</c:v>
                </c:pt>
                <c:pt idx="13">
                  <c:v>-2254</c:v>
                </c:pt>
                <c:pt idx="14">
                  <c:v>-7409</c:v>
                </c:pt>
                <c:pt idx="15">
                  <c:v>-2477</c:v>
                </c:pt>
              </c:numCache>
            </c:numRef>
          </c:val>
          <c:extLst>
            <c:ext xmlns:c16="http://schemas.microsoft.com/office/drawing/2014/chart" uri="{C3380CC4-5D6E-409C-BE32-E72D297353CC}">
              <c16:uniqueId val="{00000008-021B-475D-BE23-AF9C8300E7B1}"/>
            </c:ext>
          </c:extLst>
        </c:ser>
        <c:ser>
          <c:idx val="9"/>
          <c:order val="9"/>
          <c:tx>
            <c:strRef>
              <c:f>Sheet2!$K$1</c:f>
              <c:strCache>
                <c:ptCount val="1"/>
                <c:pt idx="0">
                  <c:v>FY '18</c:v>
                </c:pt>
              </c:strCache>
            </c:strRef>
          </c:tx>
          <c:spPr>
            <a:solidFill>
              <a:schemeClr val="accent4">
                <a:lumMod val="60000"/>
              </a:schemeClr>
            </a:solidFill>
            <a:ln>
              <a:noFill/>
            </a:ln>
            <a:effectLst/>
          </c:spPr>
          <c:invertIfNegative val="0"/>
          <c:cat>
            <c:strRef>
              <c:f>Sheet2!$A$2:$A$17</c:f>
              <c:strCache>
                <c:ptCount val="16"/>
                <c:pt idx="0">
                  <c:v>Operating Income</c:v>
                </c:pt>
                <c:pt idx="1">
                  <c:v>Gross Profit</c:v>
                </c:pt>
                <c:pt idx="2">
                  <c:v>Income before income taxes</c:v>
                </c:pt>
                <c:pt idx="3">
                  <c:v>CONSOLIDATED NET INCOME</c:v>
                </c:pt>
                <c:pt idx="4">
                  <c:v>NET INCOME ATTRIBUTABLE TO SHAREOWNERS OF THE COCA-COLA COMPANY</c:v>
                </c:pt>
                <c:pt idx="5">
                  <c:v>Total cash, cash equivalents and short-term investments</c:v>
                </c:pt>
                <c:pt idx="6">
                  <c:v>Total current assets</c:v>
                </c:pt>
                <c:pt idx="7">
                  <c:v>Total assets</c:v>
                </c:pt>
                <c:pt idx="8">
                  <c:v>Total current liabilities</c:v>
                </c:pt>
                <c:pt idx="9">
                  <c:v>EQUITY ATTRIBUTABLE TO SHAREOWNERS OF THE COCA-COLA COMPANY</c:v>
                </c:pt>
                <c:pt idx="10">
                  <c:v>Total equity</c:v>
                </c:pt>
                <c:pt idx="11">
                  <c:v>Total liabilities and equity</c:v>
                </c:pt>
                <c:pt idx="12">
                  <c:v>Net cash provided by operating activities</c:v>
                </c:pt>
                <c:pt idx="13">
                  <c:v>Net cash provided by (used in) investing activities</c:v>
                </c:pt>
                <c:pt idx="14">
                  <c:v>Net cash provided by (used in) financing activities</c:v>
                </c:pt>
                <c:pt idx="15">
                  <c:v>Net increase (decrease) during the year</c:v>
                </c:pt>
              </c:strCache>
            </c:strRef>
          </c:cat>
          <c:val>
            <c:numRef>
              <c:f>Sheet2!$K$2:$K$17</c:f>
              <c:numCache>
                <c:formatCode>_-[$$-409]* #,##0.00_ ;_-[$$-409]* \-#,##0.00\ ;_-[$$-409]* "-"??_ ;_-@_ </c:formatCode>
                <c:ptCount val="16"/>
                <c:pt idx="0">
                  <c:v>8700</c:v>
                </c:pt>
                <c:pt idx="1">
                  <c:v>20086</c:v>
                </c:pt>
                <c:pt idx="2">
                  <c:v>8350</c:v>
                </c:pt>
                <c:pt idx="3">
                  <c:v>6476</c:v>
                </c:pt>
                <c:pt idx="4">
                  <c:v>6434</c:v>
                </c:pt>
                <c:pt idx="5">
                  <c:v>10951</c:v>
                </c:pt>
                <c:pt idx="6">
                  <c:v>30634</c:v>
                </c:pt>
                <c:pt idx="7">
                  <c:v>83216</c:v>
                </c:pt>
                <c:pt idx="8">
                  <c:v>29223</c:v>
                </c:pt>
                <c:pt idx="9">
                  <c:v>16981</c:v>
                </c:pt>
                <c:pt idx="10">
                  <c:v>19058</c:v>
                </c:pt>
                <c:pt idx="11">
                  <c:v>83216</c:v>
                </c:pt>
                <c:pt idx="12">
                  <c:v>7320</c:v>
                </c:pt>
                <c:pt idx="13">
                  <c:v>6348</c:v>
                </c:pt>
                <c:pt idx="14">
                  <c:v>-10552</c:v>
                </c:pt>
                <c:pt idx="15">
                  <c:v>2945</c:v>
                </c:pt>
              </c:numCache>
            </c:numRef>
          </c:val>
          <c:extLst>
            <c:ext xmlns:c16="http://schemas.microsoft.com/office/drawing/2014/chart" uri="{C3380CC4-5D6E-409C-BE32-E72D297353CC}">
              <c16:uniqueId val="{00000009-021B-475D-BE23-AF9C8300E7B1}"/>
            </c:ext>
          </c:extLst>
        </c:ser>
        <c:dLbls>
          <c:showLegendKey val="0"/>
          <c:showVal val="0"/>
          <c:showCatName val="0"/>
          <c:showSerName val="0"/>
          <c:showPercent val="0"/>
          <c:showBubbleSize val="0"/>
        </c:dLbls>
        <c:gapWidth val="150"/>
        <c:overlap val="100"/>
        <c:axId val="1402436592"/>
        <c:axId val="1402420272"/>
      </c:barChart>
      <c:catAx>
        <c:axId val="140243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420272"/>
        <c:crosses val="autoZero"/>
        <c:auto val="1"/>
        <c:lblAlgn val="ctr"/>
        <c:lblOffset val="100"/>
        <c:noMultiLvlLbl val="0"/>
      </c:catAx>
      <c:valAx>
        <c:axId val="1402420272"/>
        <c:scaling>
          <c:orientation val="minMax"/>
        </c:scaling>
        <c:delete val="0"/>
        <c:axPos val="b"/>
        <c:numFmt formatCode="\$0,&quot;K&quot;\ "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402436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Sheet2!$T$1</c:f>
              <c:strCache>
                <c:ptCount val="1"/>
                <c:pt idx="0">
                  <c:v>NET INCOME ATTRIBUTABLE TO SHAREOWNERS OF THE COCA-COLA COMPANY</c:v>
                </c:pt>
              </c:strCache>
            </c:strRef>
          </c:tx>
          <c:spPr>
            <a:solidFill>
              <a:schemeClr val="accent1"/>
            </a:solidFill>
            <a:ln>
              <a:noFill/>
            </a:ln>
            <a:effectLst/>
          </c:spPr>
          <c:invertIfNegative val="0"/>
          <c:val>
            <c:numRef>
              <c:f>Sheet2!$T$2:$T$11</c:f>
              <c:numCache>
                <c:formatCode>_-[$$-409]* #,##0.00_ ;_-[$$-409]* \-#,##0.00\ ;_-[$$-409]* "-"??_ ;_-@_ </c:formatCode>
                <c:ptCount val="10"/>
                <c:pt idx="0">
                  <c:v>6824</c:v>
                </c:pt>
                <c:pt idx="1">
                  <c:v>11787</c:v>
                </c:pt>
                <c:pt idx="2">
                  <c:v>8584</c:v>
                </c:pt>
                <c:pt idx="3">
                  <c:v>9019</c:v>
                </c:pt>
                <c:pt idx="4">
                  <c:v>8584</c:v>
                </c:pt>
                <c:pt idx="5">
                  <c:v>7098</c:v>
                </c:pt>
                <c:pt idx="6">
                  <c:v>7351</c:v>
                </c:pt>
                <c:pt idx="7">
                  <c:v>6527</c:v>
                </c:pt>
                <c:pt idx="8">
                  <c:v>1248</c:v>
                </c:pt>
                <c:pt idx="9">
                  <c:v>6434</c:v>
                </c:pt>
              </c:numCache>
            </c:numRef>
          </c:val>
          <c:extLst>
            <c:ext xmlns:c16="http://schemas.microsoft.com/office/drawing/2014/chart" uri="{C3380CC4-5D6E-409C-BE32-E72D297353CC}">
              <c16:uniqueId val="{00000000-E904-4D1F-A3EE-B257FCDE2122}"/>
            </c:ext>
          </c:extLst>
        </c:ser>
        <c:dLbls>
          <c:showLegendKey val="0"/>
          <c:showVal val="0"/>
          <c:showCatName val="0"/>
          <c:showSerName val="0"/>
          <c:showPercent val="0"/>
          <c:showBubbleSize val="0"/>
        </c:dLbls>
        <c:gapWidth val="182"/>
        <c:axId val="1393502832"/>
        <c:axId val="1393500912"/>
      </c:barChart>
      <c:catAx>
        <c:axId val="139350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00912"/>
        <c:crosses val="autoZero"/>
        <c:auto val="1"/>
        <c:lblAlgn val="ctr"/>
        <c:lblOffset val="100"/>
        <c:noMultiLvlLbl val="0"/>
      </c:catAx>
      <c:valAx>
        <c:axId val="1393500912"/>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502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D6B3933-BC1C-4448-A80F-E460FE36E795}">
  <sheetPr/>
  <sheetViews>
    <sheetView zoomScale="82" workbookViewId="0" zoomToFit="1"/>
  </sheetViews>
  <sheetProtection content="1" objects="1"/>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51488" cy="6272561"/>
    <xdr:graphicFrame macro="">
      <xdr:nvGraphicFramePr>
        <xdr:cNvPr id="2" name="Chart 1">
          <a:extLst>
            <a:ext uri="{FF2B5EF4-FFF2-40B4-BE49-F238E27FC236}">
              <a16:creationId xmlns:a16="http://schemas.microsoft.com/office/drawing/2014/main" id="{CC46D46C-2773-BE23-CC95-3790645D083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11</xdr:col>
      <xdr:colOff>281940</xdr:colOff>
      <xdr:row>0</xdr:row>
      <xdr:rowOff>0</xdr:rowOff>
    </xdr:from>
    <xdr:to>
      <xdr:col>18</xdr:col>
      <xdr:colOff>586740</xdr:colOff>
      <xdr:row>15</xdr:row>
      <xdr:rowOff>0</xdr:rowOff>
    </xdr:to>
    <xdr:graphicFrame macro="">
      <xdr:nvGraphicFramePr>
        <xdr:cNvPr id="2" name="Chart 1">
          <a:extLst>
            <a:ext uri="{FF2B5EF4-FFF2-40B4-BE49-F238E27FC236}">
              <a16:creationId xmlns:a16="http://schemas.microsoft.com/office/drawing/2014/main" id="{3BF982B3-022F-E8C8-DEE7-FF62795FF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11</xdr:col>
      <xdr:colOff>78828</xdr:colOff>
      <xdr:row>21</xdr:row>
      <xdr:rowOff>35034</xdr:rowOff>
    </xdr:to>
    <xdr:graphicFrame macro="">
      <xdr:nvGraphicFramePr>
        <xdr:cNvPr id="3" name="Chart 1">
          <a:extLst>
            <a:ext uri="{FF2B5EF4-FFF2-40B4-BE49-F238E27FC236}">
              <a16:creationId xmlns:a16="http://schemas.microsoft.com/office/drawing/2014/main" id="{8124B30E-38D6-61C5-72D5-32FF4DE4B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306551</xdr:colOff>
      <xdr:row>15</xdr:row>
      <xdr:rowOff>57587</xdr:rowOff>
    </xdr:from>
    <xdr:to>
      <xdr:col>18</xdr:col>
      <xdr:colOff>611352</xdr:colOff>
      <xdr:row>30</xdr:row>
      <xdr:rowOff>57588</xdr:rowOff>
    </xdr:to>
    <xdr:graphicFrame macro="">
      <xdr:nvGraphicFramePr>
        <xdr:cNvPr id="4" name="Chart 1">
          <a:extLst>
            <a:ext uri="{FF2B5EF4-FFF2-40B4-BE49-F238E27FC236}">
              <a16:creationId xmlns:a16="http://schemas.microsoft.com/office/drawing/2014/main" id="{2D538437-753F-303B-3A3A-5492A88CC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19</xdr:col>
      <xdr:colOff>570711</xdr:colOff>
      <xdr:row>0</xdr:row>
      <xdr:rowOff>0</xdr:rowOff>
    </xdr:from>
    <xdr:to>
      <xdr:col>22</xdr:col>
      <xdr:colOff>560201</xdr:colOff>
      <xdr:row>13</xdr:row>
      <xdr:rowOff>75872</xdr:rowOff>
    </xdr:to>
    <mc:AlternateContent xmlns:mc="http://schemas.openxmlformats.org/markup-compatibility/2006">
      <mc:Choice xmlns:a14="http://schemas.microsoft.com/office/drawing/2010/main" Requires="a14">
        <xdr:graphicFrame macro="">
          <xdr:nvGraphicFramePr>
            <xdr:cNvPr id="5" name="Column1 2">
              <a:extLst>
                <a:ext uri="{FF2B5EF4-FFF2-40B4-BE49-F238E27FC236}">
                  <a16:creationId xmlns:a16="http://schemas.microsoft.com/office/drawing/2014/main" id="{FAB37E2C-9ECC-8A98-7303-4C74736E8801}"/>
                </a:ext>
              </a:extLst>
            </xdr:cNvPr>
            <xdr:cNvGraphicFramePr/>
          </xdr:nvGraphicFramePr>
          <xdr:xfrm>
            <a:off x="0" y="0"/>
            <a:ext cx="0" cy="0"/>
          </xdr:xfrm>
          <a:graphic>
            <a:graphicData uri="http://schemas.microsoft.com/office/drawing/2010/slicer">
              <sle:slicer xmlns:sle="http://schemas.microsoft.com/office/drawing/2010/slicer" name="Column1 2"/>
            </a:graphicData>
          </a:graphic>
        </xdr:graphicFrame>
      </mc:Choice>
      <mc:Fallback>
        <xdr:sp macro="" textlink="">
          <xdr:nvSpPr>
            <xdr:cNvPr id="0" name=""/>
            <xdr:cNvSpPr>
              <a:spLocks noTextEdit="1"/>
            </xdr:cNvSpPr>
          </xdr:nvSpPr>
          <xdr:spPr>
            <a:xfrm>
              <a:off x="12223735" y="0"/>
              <a:ext cx="1829442" cy="2491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7</xdr:col>
      <xdr:colOff>1228982</xdr:colOff>
      <xdr:row>18</xdr:row>
      <xdr:rowOff>3155</xdr:rowOff>
    </xdr:from>
    <xdr:to>
      <xdr:col>9</xdr:col>
      <xdr:colOff>798285</xdr:colOff>
      <xdr:row>34</xdr:row>
      <xdr:rowOff>165652</xdr:rowOff>
    </xdr:to>
    <mc:AlternateContent xmlns:mc="http://schemas.openxmlformats.org/markup-compatibility/2006" xmlns:sle15="http://schemas.microsoft.com/office/drawing/2012/slicer">
      <mc:Choice Requires="sle15">
        <xdr:graphicFrame macro="">
          <xdr:nvGraphicFramePr>
            <xdr:cNvPr id="30" name="Column1">
              <a:extLst>
                <a:ext uri="{FF2B5EF4-FFF2-40B4-BE49-F238E27FC236}">
                  <a16:creationId xmlns:a16="http://schemas.microsoft.com/office/drawing/2014/main" id="{5F8C6772-32F0-4E77-A473-0A2613DE95C0}"/>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16166136" y="3354001"/>
              <a:ext cx="2089764" cy="313234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72571</xdr:colOff>
      <xdr:row>18</xdr:row>
      <xdr:rowOff>152400</xdr:rowOff>
    </xdr:from>
    <xdr:to>
      <xdr:col>7</xdr:col>
      <xdr:colOff>907143</xdr:colOff>
      <xdr:row>52</xdr:row>
      <xdr:rowOff>54428</xdr:rowOff>
    </xdr:to>
    <xdr:graphicFrame macro="">
      <xdr:nvGraphicFramePr>
        <xdr:cNvPr id="31" name="Chart 1">
          <a:extLst>
            <a:ext uri="{FF2B5EF4-FFF2-40B4-BE49-F238E27FC236}">
              <a16:creationId xmlns:a16="http://schemas.microsoft.com/office/drawing/2014/main" id="{736FD9D5-6393-68C7-25EB-23480291B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1013460</xdr:colOff>
      <xdr:row>2</xdr:row>
      <xdr:rowOff>17780</xdr:rowOff>
    </xdr:from>
    <xdr:to>
      <xdr:col>14</xdr:col>
      <xdr:colOff>728980</xdr:colOff>
      <xdr:row>15</xdr:row>
      <xdr:rowOff>107315</xdr:rowOff>
    </xdr:to>
    <mc:AlternateContent xmlns:mc="http://schemas.openxmlformats.org/markup-compatibility/2006" xmlns:sle15="http://schemas.microsoft.com/office/drawing/2012/slicer">
      <mc:Choice Requires="sle15">
        <xdr:graphicFrame macro="">
          <xdr:nvGraphicFramePr>
            <xdr:cNvPr id="32" name="Column1 1">
              <a:extLst>
                <a:ext uri="{FF2B5EF4-FFF2-40B4-BE49-F238E27FC236}">
                  <a16:creationId xmlns:a16="http://schemas.microsoft.com/office/drawing/2014/main" id="{35113C04-51D9-7820-6874-AE562EFFE66C}"/>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mlns="">
        <xdr:sp macro="" textlink="">
          <xdr:nvSpPr>
            <xdr:cNvPr id="0" name=""/>
            <xdr:cNvSpPr>
              <a:spLocks noTextEdit="1"/>
            </xdr:cNvSpPr>
          </xdr:nvSpPr>
          <xdr:spPr>
            <a:xfrm>
              <a:off x="22027075" y="398780"/>
              <a:ext cx="1825674" cy="250253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390769</xdr:colOff>
      <xdr:row>12</xdr:row>
      <xdr:rowOff>103554</xdr:rowOff>
    </xdr:from>
    <xdr:to>
      <xdr:col>20</xdr:col>
      <xdr:colOff>2266461</xdr:colOff>
      <xdr:row>27</xdr:row>
      <xdr:rowOff>62523</xdr:rowOff>
    </xdr:to>
    <xdr:graphicFrame macro="">
      <xdr:nvGraphicFramePr>
        <xdr:cNvPr id="39" name="Chart 38">
          <a:extLst>
            <a:ext uri="{FF2B5EF4-FFF2-40B4-BE49-F238E27FC236}">
              <a16:creationId xmlns:a16="http://schemas.microsoft.com/office/drawing/2014/main" id="{CEBB0F85-7DAF-BC1C-D14B-ACFFEBE60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6168.791900694443" createdVersion="8" refreshedVersion="8" minRefreshableVersion="3" recordCount="10" xr:uid="{89E32769-2F2C-4128-8113-E288F16ECA9B}">
  <cacheSource type="worksheet">
    <worksheetSource name="Table8"/>
  </cacheSource>
  <cacheFields count="19">
    <cacheField name="Column1" numFmtId="0">
      <sharedItems count="10">
        <s v="FY '09"/>
        <s v="FY '10"/>
        <s v="FY '11"/>
        <s v="FY '12"/>
        <s v="FY '13"/>
        <s v="FY '14"/>
        <s v="FY '15"/>
        <s v="FY '16"/>
        <s v="FY '17"/>
        <s v="FY '18"/>
      </sharedItems>
    </cacheField>
    <cacheField name="Operating Income" numFmtId="164">
      <sharedItems containsSemiMixedTypes="0" containsString="0" containsNumber="1" containsInteger="1" minValue="7599" maxValue="10779"/>
    </cacheField>
    <cacheField name="Gross Profit" numFmtId="164">
      <sharedItems containsSemiMixedTypes="0" containsString="0" containsNumber="1" containsInteger="1" minValue="19902" maxValue="28964"/>
    </cacheField>
    <cacheField name="CONSOLIDATED NET INCOME" numFmtId="164">
      <sharedItems containsSemiMixedTypes="0" containsString="0" containsNumber="1" containsInteger="1" minValue="1283" maxValue="11837"/>
    </cacheField>
    <cacheField name="NET INCOME ATTRIBUTABLE TO SHAREOWNERS OF THE COCA-COLA COMPANY" numFmtId="164">
      <sharedItems containsSemiMixedTypes="0" containsString="0" containsNumber="1" containsInteger="1" minValue="1248" maxValue="11787"/>
    </cacheField>
    <cacheField name="Total cash, cash equivalents and short-term investments" numFmtId="164">
      <sharedItems containsSemiMixedTypes="0" containsString="0" containsNumber="1" containsInteger="1" minValue="9151" maxValue="18150"/>
    </cacheField>
    <cacheField name="Total current assets" numFmtId="164">
      <sharedItems containsSemiMixedTypes="0" containsString="0" containsNumber="1" containsInteger="1" minValue="17551" maxValue="36545"/>
    </cacheField>
    <cacheField name="Total assets" numFmtId="164">
      <sharedItems containsSemiMixedTypes="0" containsString="0" containsNumber="1" containsInteger="1" minValue="48671" maxValue="92023"/>
    </cacheField>
    <cacheField name="Total current liabilities" numFmtId="164">
      <sharedItems containsSemiMixedTypes="0" containsString="0" containsNumber="1" containsInteger="1" minValue="13721" maxValue="32374"/>
    </cacheField>
    <cacheField name="EQUITY ATTRIBUTABLE TO SHAREOWNERS OF THE COCA-COLA COMPANY" numFmtId="164">
      <sharedItems containsSemiMixedTypes="0" containsString="0" containsNumber="1" containsInteger="1" minValue="16981" maxValue="33173"/>
    </cacheField>
    <cacheField name="Total equity" numFmtId="164">
      <sharedItems containsSemiMixedTypes="0" containsString="0" containsNumber="1" containsInteger="1" minValue="18977" maxValue="33440"/>
    </cacheField>
    <cacheField name="Total liabilities and equity" numFmtId="164">
      <sharedItems containsSemiMixedTypes="0" containsString="0" containsNumber="1" containsInteger="1" minValue="48671" maxValue="92023"/>
    </cacheField>
    <cacheField name="Net cash provided by operating activities" numFmtId="164">
      <sharedItems containsSemiMixedTypes="0" containsString="0" containsNumber="1" containsInteger="1" minValue="6930" maxValue="10645"/>
    </cacheField>
    <cacheField name="Net cash provided by (used in) investing activities" numFmtId="164">
      <sharedItems containsSemiMixedTypes="0" containsString="0" containsNumber="1" containsInteger="1" minValue="-11404" maxValue="6348"/>
    </cacheField>
    <cacheField name="Net cash provided by (used in) financing activities" numFmtId="164">
      <sharedItems containsSemiMixedTypes="0" containsString="0" containsNumber="1" containsInteger="1" minValue="-10552" maxValue="-2234"/>
    </cacheField>
    <cacheField name="Net increase (decrease) during the year" numFmtId="164">
      <sharedItems containsSemiMixedTypes="0" containsString="0" containsNumber="1" containsInteger="1" minValue="-4361" maxValue="4286"/>
    </cacheField>
    <cacheField name="Net increase (decrease) during the year2" numFmtId="164">
      <sharedItems containsSemiMixedTypes="0" containsString="0" containsNumber="1" containsInteger="1" minValue="-4361" maxValue="4286"/>
    </cacheField>
    <cacheField name="Income before income taxes" numFmtId="164">
      <sharedItems containsSemiMixedTypes="0" containsString="0" containsNumber="1" containsInteger="1" minValue="6742" maxValue="14207"/>
    </cacheField>
    <cacheField name="CONSOLIDATED NET INCOME2" numFmtId="164">
      <sharedItems containsSemiMixedTypes="0" containsString="0" containsNumber="1" containsInteger="1" minValue="1283" maxValue="11837"/>
    </cacheField>
  </cacheFields>
  <extLst>
    <ext xmlns:x14="http://schemas.microsoft.com/office/spreadsheetml/2009/9/main" uri="{725AE2AE-9491-48be-B2B4-4EB974FC3084}">
      <x14:pivotCacheDefinition pivotCacheId="971432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8231"/>
    <n v="19902"/>
    <n v="6906"/>
    <n v="6824"/>
    <n v="9151"/>
    <n v="17551"/>
    <n v="48671"/>
    <n v="13721"/>
    <n v="24799"/>
    <n v="25346"/>
    <n v="48671"/>
    <n v="8186"/>
    <n v="-4149"/>
    <n v="-2293"/>
    <n v="2320"/>
    <n v="2320"/>
    <n v="8946"/>
    <n v="6906"/>
  </r>
  <r>
    <x v="1"/>
    <n v="8413"/>
    <n v="22426"/>
    <n v="11837"/>
    <n v="11787"/>
    <n v="11199"/>
    <n v="21579"/>
    <n v="72921"/>
    <n v="18508"/>
    <n v="31003"/>
    <n v="31317"/>
    <n v="72921"/>
    <n v="9532"/>
    <n v="-4405"/>
    <n v="-3465"/>
    <n v="1496"/>
    <n v="1496"/>
    <n v="14207"/>
    <n v="11837"/>
  </r>
  <r>
    <x v="2"/>
    <n v="10173"/>
    <n v="28327"/>
    <n v="8646"/>
    <n v="8584"/>
    <n v="13891"/>
    <n v="25497"/>
    <n v="79974"/>
    <n v="24283"/>
    <n v="31635"/>
    <n v="31921"/>
    <n v="79974"/>
    <n v="9474"/>
    <n v="-2524"/>
    <n v="-2234"/>
    <n v="4286"/>
    <n v="4286"/>
    <n v="11458"/>
    <n v="8646"/>
  </r>
  <r>
    <x v="3"/>
    <n v="10779"/>
    <n v="28964"/>
    <n v="9086"/>
    <n v="9019"/>
    <n v="13459"/>
    <n v="30328"/>
    <n v="86174"/>
    <n v="27821"/>
    <n v="32790"/>
    <n v="33168"/>
    <n v="86174"/>
    <n v="10645"/>
    <n v="-11404"/>
    <n v="-3347"/>
    <n v="-4361"/>
    <n v="-4361"/>
    <n v="11809"/>
    <n v="9086"/>
  </r>
  <r>
    <x v="4"/>
    <n v="10228"/>
    <n v="28433"/>
    <n v="8626"/>
    <n v="8584"/>
    <n v="17121"/>
    <n v="31304"/>
    <n v="90055"/>
    <n v="27811"/>
    <n v="33173"/>
    <n v="33440"/>
    <n v="90055"/>
    <n v="10542"/>
    <n v="-4214"/>
    <n v="-3745"/>
    <n v="1972"/>
    <n v="1972"/>
    <n v="11477"/>
    <n v="8626"/>
  </r>
  <r>
    <x v="5"/>
    <n v="9708"/>
    <n v="28109"/>
    <n v="7124"/>
    <n v="7098"/>
    <n v="18010"/>
    <n v="32986"/>
    <n v="92023"/>
    <n v="32374"/>
    <n v="30320"/>
    <n v="30561"/>
    <n v="92023"/>
    <n v="10615"/>
    <n v="-7506"/>
    <n v="-3631"/>
    <n v="-1456"/>
    <n v="-1456"/>
    <n v="9325"/>
    <n v="7124"/>
  </r>
  <r>
    <x v="6"/>
    <n v="8728"/>
    <n v="26812"/>
    <n v="7366"/>
    <n v="7351"/>
    <n v="15631"/>
    <n v="33395"/>
    <n v="89996"/>
    <n v="26929"/>
    <n v="25554"/>
    <n v="25764"/>
    <n v="89996"/>
    <n v="10528"/>
    <n v="-6186"/>
    <n v="-5113"/>
    <n v="-1649"/>
    <n v="-1649"/>
    <n v="9605"/>
    <n v="7366"/>
  </r>
  <r>
    <x v="7"/>
    <n v="8626"/>
    <n v="25398"/>
    <n v="6550"/>
    <n v="6527"/>
    <n v="18150"/>
    <n v="34010"/>
    <n v="87270"/>
    <n v="26532"/>
    <n v="23062"/>
    <n v="23220"/>
    <n v="87270"/>
    <n v="8796"/>
    <n v="-999"/>
    <n v="-6545"/>
    <n v="1246"/>
    <n v="1246"/>
    <n v="8136"/>
    <n v="6550"/>
  </r>
  <r>
    <x v="8"/>
    <n v="7599"/>
    <n v="22155"/>
    <n v="1283"/>
    <n v="1248"/>
    <n v="15358"/>
    <n v="36545"/>
    <n v="87896"/>
    <n v="27194"/>
    <n v="17072"/>
    <n v="18977"/>
    <n v="87896"/>
    <n v="6930"/>
    <n v="-2254"/>
    <n v="-7409"/>
    <n v="-2477"/>
    <n v="-2477"/>
    <n v="6742"/>
    <n v="1283"/>
  </r>
  <r>
    <x v="9"/>
    <n v="8700"/>
    <n v="20086"/>
    <n v="6476"/>
    <n v="6434"/>
    <n v="10951"/>
    <n v="30634"/>
    <n v="83216"/>
    <n v="29223"/>
    <n v="16981"/>
    <n v="19058"/>
    <n v="83216"/>
    <n v="7320"/>
    <n v="6348"/>
    <n v="-10552"/>
    <n v="2945"/>
    <n v="2945"/>
    <n v="8350"/>
    <n v="64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8D2806-A15E-4E06-B983-F4275FAA652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E4" firstHeaderRow="0" firstDataRow="1" firstDataCol="0" rowPageCount="1" colPageCount="1"/>
  <pivotFields count="19">
    <pivotField axis="axisPage" multipleItemSelectionAllowed="1" showAll="0">
      <items count="11">
        <item h="1" x="0"/>
        <item x="1"/>
        <item x="2"/>
        <item h="1" x="3"/>
        <item x="4"/>
        <item x="5"/>
        <item x="6"/>
        <item h="1" x="7"/>
        <item x="8"/>
        <item h="1" x="9"/>
        <item t="default"/>
      </items>
    </pivotField>
    <pivotField dataField="1" numFmtId="164" showAll="0"/>
    <pivotField dataField="1" numFmtId="164" showAll="0"/>
    <pivotField numFmtId="164" showAll="0"/>
    <pivotField numFmtId="164" showAll="0"/>
    <pivotField numFmtId="164" showAll="0"/>
    <pivotField numFmtId="164" showAll="0"/>
    <pivotField dataField="1" numFmtId="164" showAll="0"/>
    <pivotField dataField="1" numFmtId="164"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s>
  <rowItems count="1">
    <i/>
  </rowItems>
  <colFields count="1">
    <field x="-2"/>
  </colFields>
  <colItems count="5">
    <i>
      <x/>
    </i>
    <i i="1">
      <x v="1"/>
    </i>
    <i i="2">
      <x v="2"/>
    </i>
    <i i="3">
      <x v="3"/>
    </i>
    <i i="4">
      <x v="4"/>
    </i>
  </colItems>
  <pageFields count="1">
    <pageField fld="0" hier="-1"/>
  </pageFields>
  <dataFields count="5">
    <dataField name="Sum of Gross Profit" fld="2" baseField="0" baseItem="0" numFmtId="164"/>
    <dataField name="Sum of Total assets" fld="7" baseField="0" baseItem="0" numFmtId="164"/>
    <dataField name="Sum of Total current liabilities" fld="8" baseField="0" baseItem="0" numFmtId="164"/>
    <dataField name="Sum of Total equity" fld="10" baseField="0" baseItem="0" numFmtId="164"/>
    <dataField name="Sum of Operating Income" fld="1" baseField="0" baseItem="0" numFmtId="164"/>
  </dataFields>
  <chartFormats count="5">
    <chartFormat chart="23" format="5"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1"/>
          </reference>
        </references>
      </pivotArea>
    </chartFormat>
    <chartFormat chart="23" format="7" series="1">
      <pivotArea type="data" outline="0" fieldPosition="0">
        <references count="1">
          <reference field="4294967294" count="1" selected="0">
            <x v="2"/>
          </reference>
        </references>
      </pivotArea>
    </chartFormat>
    <chartFormat chart="23" format="8" series="1">
      <pivotArea type="data" outline="0" fieldPosition="0">
        <references count="1">
          <reference field="4294967294" count="1" selected="0">
            <x v="3"/>
          </reference>
        </references>
      </pivotArea>
    </chartFormat>
    <chartFormat chart="23" format="9" series="1">
      <pivotArea type="data" outline="0" fieldPosition="0">
        <references count="1">
          <reference field="429496729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D763BB-3B13-4895-AF3C-51B83AD0394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4" firstHeaderRow="0" firstDataRow="1" firstDataCol="0" rowPageCount="1" colPageCount="1"/>
  <pivotFields count="19">
    <pivotField axis="axisPage" multipleItemSelectionAllowed="1" showAll="0">
      <items count="11">
        <item h="1" x="0"/>
        <item x="1"/>
        <item x="2"/>
        <item h="1" x="3"/>
        <item x="4"/>
        <item x="5"/>
        <item x="6"/>
        <item h="1" x="7"/>
        <item x="8"/>
        <item h="1" x="9"/>
        <item t="default"/>
      </items>
    </pivotField>
    <pivotField numFmtId="164" showAll="0"/>
    <pivotField numFmtId="164" showAll="0"/>
    <pivotField numFmtId="164" showAll="0"/>
    <pivotField numFmtId="164" showAll="0"/>
    <pivotField numFmtId="164" showAll="0"/>
    <pivotField numFmtId="164" showAll="0"/>
    <pivotField dataField="1" numFmtId="164" showAll="0"/>
    <pivotField dataField="1" numFmtId="164"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s>
  <rowItems count="1">
    <i/>
  </rowItems>
  <colFields count="1">
    <field x="-2"/>
  </colFields>
  <colItems count="3">
    <i>
      <x/>
    </i>
    <i i="1">
      <x v="1"/>
    </i>
    <i i="2">
      <x v="2"/>
    </i>
  </colItems>
  <pageFields count="1">
    <pageField fld="0" hier="-1"/>
  </pageFields>
  <dataFields count="3">
    <dataField name="Sum of Total assets" fld="7" baseField="0" baseItem="0" numFmtId="164"/>
    <dataField name="Sum of Total current liabilities" fld="8" baseField="0" baseItem="0" numFmtId="164"/>
    <dataField name="Sum of Total equity" fld="10" baseField="0" baseItem="0" numFmtId="164"/>
  </dataFields>
  <formats count="1">
    <format dxfId="51">
      <pivotArea outline="0" collapsedLevelsAreSubtotals="1" fieldPosition="0"/>
    </format>
  </formats>
  <chartFormats count="6">
    <chartFormat chart="6" format="12" series="1">
      <pivotArea type="data" outline="0" fieldPosition="0">
        <references count="1">
          <reference field="4294967294" count="1" selected="0">
            <x v="0"/>
          </reference>
        </references>
      </pivotArea>
    </chartFormat>
    <chartFormat chart="6" format="13">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2"/>
          </reference>
        </references>
      </pivotArea>
    </chartFormat>
    <chartFormat chart="6" format="17">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2978D7-676B-4F3D-B0F3-BEEF817565B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9">
    <pivotField axis="axisRow" showAll="0">
      <items count="11">
        <item h="1" x="0"/>
        <item x="1"/>
        <item x="2"/>
        <item h="1" x="3"/>
        <item x="4"/>
        <item x="5"/>
        <item x="6"/>
        <item h="1" x="7"/>
        <item x="8"/>
        <item h="1" x="9"/>
        <item t="default"/>
      </items>
    </pivotField>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64" showAll="0"/>
    <pivotField numFmtId="164" showAll="0"/>
  </pivotFields>
  <rowFields count="1">
    <field x="0"/>
  </rowFields>
  <rowItems count="7">
    <i>
      <x v="1"/>
    </i>
    <i>
      <x v="2"/>
    </i>
    <i>
      <x v="4"/>
    </i>
    <i>
      <x v="5"/>
    </i>
    <i>
      <x v="6"/>
    </i>
    <i>
      <x v="8"/>
    </i>
    <i t="grand">
      <x/>
    </i>
  </rowItems>
  <colItems count="1">
    <i/>
  </colItems>
  <dataFields count="1">
    <dataField name="Sum of Net increase (decrease) during the year" fld="15" baseField="0" baseItem="0" numFmtId="164"/>
  </dataFields>
  <chartFormats count="11">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8"/>
          </reference>
        </references>
      </pivotArea>
    </chartFormat>
    <chartFormat chart="2" format="3">
      <pivotArea type="data" outline="0" fieldPosition="0">
        <references count="2">
          <reference field="4294967294" count="1" selected="0">
            <x v="0"/>
          </reference>
          <reference field="0" count="1" selected="0">
            <x v="9"/>
          </reference>
        </references>
      </pivotArea>
    </chartFormat>
    <chartFormat chart="2" format="4">
      <pivotArea type="data" outline="0" fieldPosition="0">
        <references count="2">
          <reference field="4294967294" count="1" selected="0">
            <x v="0"/>
          </reference>
          <reference field="0" count="1" selected="0">
            <x v="7"/>
          </reference>
        </references>
      </pivotArea>
    </chartFormat>
    <chartFormat chart="2" format="5">
      <pivotArea type="data" outline="0" fieldPosition="0">
        <references count="2">
          <reference field="4294967294" count="1" selected="0">
            <x v="0"/>
          </reference>
          <reference field="0" count="1" selected="0">
            <x v="6"/>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2" xr10:uid="{4B8E12EA-E811-4B59-840E-127A1A28EC50}" sourceName="Column1">
  <pivotTables>
    <pivotTable tabId="6" name="PivotTable7"/>
    <pivotTable tabId="15" name="PivotTable12"/>
    <pivotTable tabId="9" name="PivotTable9"/>
  </pivotTables>
  <data>
    <tabular pivotCacheId="971432196">
      <items count="10">
        <i x="0"/>
        <i x="1" s="1"/>
        <i x="2" s="1"/>
        <i x="3"/>
        <i x="4" s="1"/>
        <i x="5" s="1"/>
        <i x="6" s="1"/>
        <i x="7"/>
        <i x="8" s="1"/>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4C673FA4-F057-4A0F-A2DB-66F838EDAA77}" sourceName="Column1">
  <extLst>
    <x:ext xmlns:x15="http://schemas.microsoft.com/office/spreadsheetml/2010/11/main" uri="{2F2917AC-EB37-4324-AD4E-5DD8C200BD13}">
      <x15:tableSlicerCache tableId="5"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1" xr10:uid="{075324D9-470C-4EEA-B2CB-A38CA5D50241}" sourceName="Column1">
  <extLst>
    <x:ext xmlns:x15="http://schemas.microsoft.com/office/spreadsheetml/2010/11/main" uri="{2F2917AC-EB37-4324-AD4E-5DD8C200BD13}">
      <x15:tableSlicerCache tableId="8"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2" xr10:uid="{2295CD0A-4CC0-496E-A30B-022417D7FA7D}" cache="Slicer_Column12" caption="Column1" startItem="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DC48BDB6-3E0F-4F7B-9FF9-95E5781E38E6}" cache="Slicer_Column1" caption="Column1" startItem="5" rowHeight="234950"/>
  <slicer name="Column1 1" xr10:uid="{6FDD9A72-5195-4B28-9D65-EC0BF7840601}" cache="Slicer_Column11" caption="Colum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ADD153-311A-4245-A9B8-675A1938C556}" name="Table4" displayName="Table4" ref="C5:M6" totalsRowShown="0" headerRowDxfId="66" dataDxfId="64" headerRowBorderDxfId="65" tableBorderDxfId="63">
  <autoFilter ref="C5:M6" xr:uid="{EBADD153-311A-4245-A9B8-675A1938C556}"/>
  <tableColumns count="11">
    <tableColumn id="1" xr3:uid="{B4DACD0F-32DE-4449-88A2-DCDB749F63F1}" name="Column1" dataDxfId="62"/>
    <tableColumn id="2" xr3:uid="{F1A7EA0A-EF84-48EB-BC63-40F78FB99405}" name="FY '09" dataDxfId="61" dataCellStyle="Comma"/>
    <tableColumn id="3" xr3:uid="{30965638-DFF3-41F2-8EAC-2E96D47F6134}" name="FY '10" dataDxfId="60" dataCellStyle="Comma"/>
    <tableColumn id="4" xr3:uid="{D8EC974F-7F2A-4399-A164-9E5265AB1941}" name="FY '11" dataDxfId="59" dataCellStyle="Comma"/>
    <tableColumn id="5" xr3:uid="{4CF7C03F-C328-47FE-98D2-9C347829DC54}" name="FY '12" dataDxfId="58" dataCellStyle="Comma"/>
    <tableColumn id="6" xr3:uid="{3253C09A-92EB-428A-B7D2-99D22E4BE910}" name="FY '13" dataDxfId="57" dataCellStyle="Comma"/>
    <tableColumn id="7" xr3:uid="{DBE87450-9A6C-4AA4-85C5-746617E22374}" name="FY '14" dataDxfId="56" dataCellStyle="Comma"/>
    <tableColumn id="8" xr3:uid="{D9423422-6422-4475-994F-D873270B9322}" name="FY '15" dataDxfId="55" dataCellStyle="Comma"/>
    <tableColumn id="9" xr3:uid="{8DC60078-8698-4813-98BA-A2FC4AE8C38B}" name="FY '16" dataDxfId="54" dataCellStyle="Comma"/>
    <tableColumn id="10" xr3:uid="{F9955F0D-B0F1-40FB-B765-7B1A783889F8}" name="FY '17" dataDxfId="53" dataCellStyle="Comma"/>
    <tableColumn id="11" xr3:uid="{3041DDFC-80A9-4F4D-B226-35AADA06F534}" name="FY '18" dataDxfId="52" dataCellStyle="Comm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93DE71-6EE6-4D33-ACFD-F926C60588B3}" name="Table5" displayName="Table5" ref="A1:K17" headerRowDxfId="50" dataDxfId="48" headerRowBorderDxfId="49" tableBorderDxfId="47" totalsRowBorderDxfId="46">
  <autoFilter ref="A1:K17" xr:uid="{0D93DE71-6EE6-4D33-ACFD-F926C60588B3}"/>
  <tableColumns count="11">
    <tableColumn id="1" xr3:uid="{1401D801-46A1-4D00-AB0B-42C693C02DF4}" name="Column1" totalsRowLabel="Total" dataDxfId="45" totalsRowDxfId="44"/>
    <tableColumn id="2" xr3:uid="{97B3B2DD-4C23-409E-A6CD-E5BCC7ECEA35}" name="FY '09" dataDxfId="43" totalsRowDxfId="42" dataCellStyle="Comma"/>
    <tableColumn id="3" xr3:uid="{D836C20B-E999-4C84-8B9F-B30D636B3B4A}" name="FY '10" dataDxfId="41" totalsRowDxfId="40" dataCellStyle="Comma"/>
    <tableColumn id="4" xr3:uid="{D4A289A4-2A6B-4932-B618-AC236199E62E}" name="FY '11" dataDxfId="39" totalsRowDxfId="38" dataCellStyle="Comma"/>
    <tableColumn id="5" xr3:uid="{5866BCDD-B105-476A-9622-C960A83BB015}" name="FY '12" dataDxfId="37" totalsRowDxfId="36" dataCellStyle="Comma"/>
    <tableColumn id="6" xr3:uid="{60B609C8-080B-469A-BDFA-4FE81BE57708}" name="FY '13" dataDxfId="35" totalsRowDxfId="34" dataCellStyle="Comma"/>
    <tableColumn id="7" xr3:uid="{D8032EF1-53BB-477E-AEFF-200D7010E0AC}" name="FY '14" dataDxfId="33" totalsRowDxfId="32" dataCellStyle="Comma"/>
    <tableColumn id="8" xr3:uid="{E980E810-CFB3-4951-BD56-EB40BA3FF1C4}" name="FY '15" dataDxfId="31" totalsRowDxfId="30" dataCellStyle="Comma"/>
    <tableColumn id="9" xr3:uid="{281A702B-995A-4EA6-B1DA-831AF71C9503}" name="FY '16" dataDxfId="29" totalsRowDxfId="28" dataCellStyle="Comma"/>
    <tableColumn id="10" xr3:uid="{9FA35345-AFA2-4F11-AD96-650E45AB0D3D}" name="FY '17" dataDxfId="27" totalsRowDxfId="26" dataCellStyle="Comma"/>
    <tableColumn id="11" xr3:uid="{F39921FD-EE5E-4432-9AD3-3D8D5BB53B4C}" name="FY '18" totalsRowFunction="sum" dataDxfId="25" totalsRowDxfId="24" dataCellStyle="Comm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8532791-D621-42C4-A4FE-1B904E7BD390}" name="Table8" displayName="Table8" ref="P1:AH11" totalsRowShown="0" headerRowDxfId="23" dataDxfId="21" headerRowBorderDxfId="22" tableBorderDxfId="20" totalsRowBorderDxfId="19" dataCellStyle="Comma">
  <autoFilter ref="P1:AH11" xr:uid="{B8532791-D621-42C4-A4FE-1B904E7BD390}"/>
  <tableColumns count="19">
    <tableColumn id="1" xr3:uid="{BAAD67BE-5AF4-4819-898C-98316FB524D5}" name="Column1" dataDxfId="18"/>
    <tableColumn id="2" xr3:uid="{7CBC849D-ADD5-4E56-9D7A-63E0A86E37FC}" name="Operating Income" dataDxfId="17" dataCellStyle="Comma"/>
    <tableColumn id="3" xr3:uid="{B49C91F1-2C1E-48E8-9B77-684F114073C7}" name="Gross Profit" dataDxfId="16" dataCellStyle="Comma"/>
    <tableColumn id="5" xr3:uid="{443D9B20-EFF7-4AA8-9FA9-34ADE63D136B}" name="CONSOLIDATED NET INCOME" dataDxfId="15" dataCellStyle="Comma"/>
    <tableColumn id="6" xr3:uid="{21D8D36D-AD6D-4AFA-AFAD-076515681813}" name="NET INCOME ATTRIBUTABLE TO SHAREOWNERS OF THE COCA-COLA COMPANY" dataDxfId="14" dataCellStyle="Comma"/>
    <tableColumn id="7" xr3:uid="{D8E02B91-84CC-4AD5-B362-924BD68964F5}" name="Total cash, cash equivalents and short-term investments" dataDxfId="13" dataCellStyle="Comma"/>
    <tableColumn id="8" xr3:uid="{E6A8B8D0-91B0-4A73-A077-D9078007A549}" name="Total current assets" dataDxfId="12" dataCellStyle="Comma"/>
    <tableColumn id="9" xr3:uid="{552ADD85-ED21-4F2C-8897-F9D4AF8B04F3}" name="Total assets" dataDxfId="11" dataCellStyle="Comma"/>
    <tableColumn id="10" xr3:uid="{413A29CE-0020-47A7-89DD-7E3CB40D088C}" name="Total current liabilities" dataDxfId="10" dataCellStyle="Comma"/>
    <tableColumn id="11" xr3:uid="{47A17991-8766-4807-A42B-82A56C28B1E0}" name="EQUITY ATTRIBUTABLE TO SHAREOWNERS OF THE COCA-COLA COMPANY" dataDxfId="9" dataCellStyle="Comma"/>
    <tableColumn id="12" xr3:uid="{30C9AD2E-F7A8-49A7-9DE4-E21D900BBC2B}" name="Total equity" dataDxfId="8" dataCellStyle="Comma"/>
    <tableColumn id="13" xr3:uid="{75C3C605-1385-44B1-A0B3-801E19808C94}" name="Total liabilities and equity" dataDxfId="7" dataCellStyle="Comma"/>
    <tableColumn id="14" xr3:uid="{7621C13A-D0E6-4825-ADF2-88E68A48E409}" name="Net cash provided by operating activities" dataDxfId="6" dataCellStyle="Comma"/>
    <tableColumn id="15" xr3:uid="{8854ED08-DCED-45B7-AB17-5AA57D7A5BDA}" name="Net cash provided by (used in) investing activities" dataDxfId="5" dataCellStyle="Comma"/>
    <tableColumn id="16" xr3:uid="{98929819-B5D7-4857-AFE0-4301CE34F816}" name="Net cash provided by (used in) financing activities" dataDxfId="4" dataCellStyle="Comma"/>
    <tableColumn id="17" xr3:uid="{E2AFC8C3-F960-44C5-86AA-7D322C433874}" name="Net increase (decrease) during the year" dataDxfId="3" dataCellStyle="Comma"/>
    <tableColumn id="18" xr3:uid="{96E38D8D-9D94-47C0-BEFD-801707076DB5}" name="Net increase (decrease) during the year2" dataDxfId="2" dataCellStyle="Comma"/>
    <tableColumn id="19" xr3:uid="{FC73D64E-C429-4870-BA39-27705C00BF3A}" name="Income before income taxes" dataDxfId="1" dataCellStyle="Comma"/>
    <tableColumn id="20" xr3:uid="{C1F2D076-3101-4998-95A4-DF6D296D4605}" name="CONSOLIDATED NET INCOME2" dataDxfId="0" dataCellStyle="Comm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mfin.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4"/>
  <sheetViews>
    <sheetView tabSelected="1" topLeftCell="A22" zoomScale="95" workbookViewId="0">
      <selection activeCell="B31" sqref="B31"/>
    </sheetView>
  </sheetViews>
  <sheetFormatPr defaultRowHeight="14.4" x14ac:dyDescent="0.3"/>
  <cols>
    <col min="1" max="1" width="2" customWidth="1"/>
    <col min="2" max="2" width="134.44140625" bestFit="1" customWidth="1"/>
    <col min="3" max="12" width="9.33203125" bestFit="1" customWidth="1"/>
  </cols>
  <sheetData>
    <row r="1" spans="1:12" s="1" customFormat="1" x14ac:dyDescent="0.3">
      <c r="A1" s="2" t="s">
        <v>0</v>
      </c>
    </row>
    <row r="3" spans="1:12" x14ac:dyDescent="0.3">
      <c r="A3" t="s">
        <v>1</v>
      </c>
    </row>
    <row r="4" spans="1:12" x14ac:dyDescent="0.3">
      <c r="B4" t="s">
        <v>2</v>
      </c>
      <c r="C4" t="s">
        <v>3</v>
      </c>
      <c r="D4" t="s">
        <v>4</v>
      </c>
      <c r="E4" t="s">
        <v>5</v>
      </c>
      <c r="F4" t="s">
        <v>6</v>
      </c>
      <c r="G4" t="s">
        <v>7</v>
      </c>
      <c r="H4" t="s">
        <v>8</v>
      </c>
      <c r="I4" t="s">
        <v>9</v>
      </c>
      <c r="J4" t="s">
        <v>10</v>
      </c>
      <c r="K4" t="s">
        <v>11</v>
      </c>
      <c r="L4" t="s">
        <v>12</v>
      </c>
    </row>
    <row r="5" spans="1:12" x14ac:dyDescent="0.3">
      <c r="B5" t="s">
        <v>13</v>
      </c>
      <c r="C5" s="3">
        <v>30990</v>
      </c>
      <c r="D5" s="3">
        <v>35119</v>
      </c>
      <c r="E5" s="3">
        <v>46542</v>
      </c>
      <c r="F5" s="3">
        <v>48017</v>
      </c>
      <c r="G5" s="3">
        <v>46854</v>
      </c>
      <c r="H5" s="3">
        <v>45998</v>
      </c>
      <c r="I5" s="3">
        <v>44294</v>
      </c>
      <c r="J5" s="3">
        <v>41863</v>
      </c>
      <c r="K5" s="3">
        <v>35410</v>
      </c>
      <c r="L5" s="3">
        <v>31856</v>
      </c>
    </row>
    <row r="6" spans="1:12" x14ac:dyDescent="0.3">
      <c r="B6" t="s">
        <v>14</v>
      </c>
      <c r="C6" s="3">
        <v>11088</v>
      </c>
      <c r="D6" s="3">
        <v>12693</v>
      </c>
      <c r="E6" s="3">
        <v>18215</v>
      </c>
      <c r="F6" s="3">
        <v>19053</v>
      </c>
      <c r="G6" s="3">
        <v>18421</v>
      </c>
      <c r="H6" s="3">
        <v>17889</v>
      </c>
      <c r="I6" s="3">
        <v>17482</v>
      </c>
      <c r="J6" s="3">
        <v>16465</v>
      </c>
      <c r="K6" s="3">
        <v>13255</v>
      </c>
      <c r="L6" s="3">
        <v>11770</v>
      </c>
    </row>
    <row r="7" spans="1:12" x14ac:dyDescent="0.3">
      <c r="B7" s="4" t="s">
        <v>15</v>
      </c>
      <c r="C7" s="5">
        <v>19902</v>
      </c>
      <c r="D7" s="5">
        <v>22426</v>
      </c>
      <c r="E7" s="5">
        <v>28327</v>
      </c>
      <c r="F7" s="5">
        <v>28964</v>
      </c>
      <c r="G7" s="5">
        <v>28433</v>
      </c>
      <c r="H7" s="5">
        <v>28109</v>
      </c>
      <c r="I7" s="5">
        <v>26812</v>
      </c>
      <c r="J7" s="5">
        <v>25398</v>
      </c>
      <c r="K7" s="5">
        <v>22155</v>
      </c>
      <c r="L7" s="5">
        <v>20086</v>
      </c>
    </row>
    <row r="8" spans="1:12" x14ac:dyDescent="0.3">
      <c r="B8" t="s">
        <v>16</v>
      </c>
      <c r="C8" s="3">
        <v>11358</v>
      </c>
      <c r="D8" s="3">
        <v>13194</v>
      </c>
      <c r="E8" s="3">
        <v>17422</v>
      </c>
      <c r="F8" s="3">
        <v>17738</v>
      </c>
      <c r="G8" s="3">
        <v>17310</v>
      </c>
      <c r="H8" s="3">
        <v>17218</v>
      </c>
      <c r="I8" s="3">
        <v>16427</v>
      </c>
      <c r="J8" s="3">
        <v>15262</v>
      </c>
      <c r="K8" s="3">
        <v>12654</v>
      </c>
      <c r="L8" s="3">
        <v>10307</v>
      </c>
    </row>
    <row r="9" spans="1:12" x14ac:dyDescent="0.3">
      <c r="B9" t="s">
        <v>17</v>
      </c>
      <c r="C9" s="3">
        <v>313</v>
      </c>
      <c r="D9" s="3">
        <v>819</v>
      </c>
      <c r="E9" s="3">
        <v>732</v>
      </c>
      <c r="F9" s="3">
        <v>447</v>
      </c>
      <c r="G9" s="3">
        <v>895</v>
      </c>
      <c r="H9" s="3">
        <v>1183</v>
      </c>
      <c r="I9" s="3">
        <v>1657</v>
      </c>
      <c r="J9" s="3">
        <v>1510</v>
      </c>
      <c r="K9" s="3">
        <v>1902</v>
      </c>
      <c r="L9" s="3">
        <v>1079</v>
      </c>
    </row>
    <row r="10" spans="1:12" x14ac:dyDescent="0.3">
      <c r="B10" s="4" t="s">
        <v>18</v>
      </c>
      <c r="C10" s="5">
        <v>8231</v>
      </c>
      <c r="D10" s="5">
        <v>8413</v>
      </c>
      <c r="E10" s="5">
        <v>10173</v>
      </c>
      <c r="F10" s="5">
        <v>10779</v>
      </c>
      <c r="G10" s="5">
        <v>10228</v>
      </c>
      <c r="H10" s="5">
        <v>9708</v>
      </c>
      <c r="I10" s="5">
        <v>8728</v>
      </c>
      <c r="J10" s="5">
        <v>8626</v>
      </c>
      <c r="K10" s="5">
        <v>7599</v>
      </c>
      <c r="L10" s="5">
        <v>8700</v>
      </c>
    </row>
    <row r="11" spans="1:12" x14ac:dyDescent="0.3">
      <c r="B11" t="s">
        <v>19</v>
      </c>
      <c r="C11" s="3">
        <v>249</v>
      </c>
      <c r="D11" s="3">
        <v>317</v>
      </c>
      <c r="E11" s="3">
        <v>483</v>
      </c>
      <c r="F11" s="3">
        <v>471</v>
      </c>
      <c r="G11" s="3">
        <v>534</v>
      </c>
      <c r="H11" s="3">
        <v>594</v>
      </c>
      <c r="I11" s="3">
        <v>613</v>
      </c>
      <c r="J11" s="3">
        <v>642</v>
      </c>
      <c r="K11" s="3">
        <v>677</v>
      </c>
      <c r="L11" s="3">
        <v>682</v>
      </c>
    </row>
    <row r="12" spans="1:12" x14ac:dyDescent="0.3">
      <c r="B12" t="s">
        <v>20</v>
      </c>
      <c r="C12" s="3">
        <v>355</v>
      </c>
      <c r="D12" s="3">
        <v>733</v>
      </c>
      <c r="E12" s="3">
        <v>417</v>
      </c>
      <c r="F12" s="3">
        <v>397</v>
      </c>
      <c r="G12" s="3">
        <v>463</v>
      </c>
      <c r="H12" s="3">
        <v>483</v>
      </c>
      <c r="I12" s="3">
        <v>856</v>
      </c>
      <c r="J12" s="3">
        <v>733</v>
      </c>
      <c r="K12" s="3">
        <v>841</v>
      </c>
      <c r="L12" s="3">
        <v>919</v>
      </c>
    </row>
    <row r="13" spans="1:12" x14ac:dyDescent="0.3">
      <c r="B13" t="s">
        <v>21</v>
      </c>
      <c r="C13" s="3">
        <v>781</v>
      </c>
      <c r="D13" s="3">
        <v>1025</v>
      </c>
      <c r="E13" s="3">
        <v>690</v>
      </c>
      <c r="F13" s="3">
        <v>819</v>
      </c>
      <c r="G13" s="3">
        <v>602</v>
      </c>
      <c r="H13" s="3">
        <v>769</v>
      </c>
      <c r="I13" s="3">
        <v>489</v>
      </c>
      <c r="J13" s="3">
        <v>835</v>
      </c>
      <c r="K13" s="3">
        <v>1071</v>
      </c>
      <c r="L13" s="3">
        <v>1008</v>
      </c>
    </row>
    <row r="14" spans="1:12" x14ac:dyDescent="0.3">
      <c r="B14" t="s">
        <v>22</v>
      </c>
      <c r="C14" s="3">
        <v>40</v>
      </c>
      <c r="D14" s="3">
        <v>5185</v>
      </c>
      <c r="E14" s="3">
        <v>529</v>
      </c>
      <c r="F14" s="3">
        <v>137</v>
      </c>
      <c r="G14" s="3">
        <v>576</v>
      </c>
      <c r="H14" s="3">
        <v>-1263</v>
      </c>
      <c r="I14" s="3">
        <v>631</v>
      </c>
      <c r="J14" s="3">
        <v>-1234</v>
      </c>
      <c r="K14" s="3">
        <v>-1764</v>
      </c>
      <c r="L14" s="3">
        <v>-1121</v>
      </c>
    </row>
    <row r="15" spans="1:12" x14ac:dyDescent="0.3">
      <c r="B15" s="4" t="s">
        <v>23</v>
      </c>
      <c r="C15" s="5">
        <v>8946</v>
      </c>
      <c r="D15" s="5">
        <v>14207</v>
      </c>
      <c r="E15" s="5">
        <v>11458</v>
      </c>
      <c r="F15" s="5">
        <v>11809</v>
      </c>
      <c r="G15" s="5">
        <v>11477</v>
      </c>
      <c r="H15" s="5">
        <v>9325</v>
      </c>
      <c r="I15" s="5">
        <v>9605</v>
      </c>
      <c r="J15" s="5">
        <v>8136</v>
      </c>
      <c r="K15" s="5">
        <v>6742</v>
      </c>
      <c r="L15" s="5">
        <v>8350</v>
      </c>
    </row>
    <row r="16" spans="1:12" x14ac:dyDescent="0.3">
      <c r="B16" t="s">
        <v>24</v>
      </c>
      <c r="C16" s="3">
        <v>2040</v>
      </c>
      <c r="D16" s="3">
        <v>2370</v>
      </c>
      <c r="E16" s="3">
        <v>2812</v>
      </c>
      <c r="F16" s="3">
        <v>2723</v>
      </c>
      <c r="G16" s="3">
        <v>2851</v>
      </c>
      <c r="H16" s="3">
        <v>2201</v>
      </c>
      <c r="I16" s="3">
        <v>2239</v>
      </c>
      <c r="J16" s="3">
        <v>1586</v>
      </c>
      <c r="K16" s="3">
        <v>5560</v>
      </c>
      <c r="L16" s="3">
        <v>1623</v>
      </c>
    </row>
    <row r="17" spans="1:12" x14ac:dyDescent="0.3">
      <c r="B17" s="4" t="s">
        <v>25</v>
      </c>
      <c r="C17" s="5">
        <v>6906</v>
      </c>
      <c r="D17" s="5">
        <v>11837</v>
      </c>
      <c r="E17" s="5">
        <v>8646</v>
      </c>
      <c r="F17" s="5">
        <v>9086</v>
      </c>
      <c r="G17" s="5">
        <v>8626</v>
      </c>
      <c r="H17" s="5">
        <v>7124</v>
      </c>
      <c r="I17" s="5">
        <v>7366</v>
      </c>
      <c r="J17" s="5">
        <v>6550</v>
      </c>
      <c r="K17" s="5">
        <v>1283</v>
      </c>
      <c r="L17" s="5">
        <v>6476</v>
      </c>
    </row>
    <row r="18" spans="1:12" x14ac:dyDescent="0.3">
      <c r="B18" t="s">
        <v>26</v>
      </c>
      <c r="C18" s="3">
        <v>82</v>
      </c>
      <c r="D18" s="3">
        <v>50</v>
      </c>
      <c r="E18" s="3">
        <v>62</v>
      </c>
      <c r="F18" s="3">
        <v>67</v>
      </c>
      <c r="G18" s="3">
        <v>42</v>
      </c>
      <c r="H18" s="3">
        <v>26</v>
      </c>
      <c r="I18" s="3">
        <v>15</v>
      </c>
      <c r="J18" s="3">
        <v>23</v>
      </c>
      <c r="K18" s="3">
        <v>35</v>
      </c>
      <c r="L18" s="3">
        <v>42</v>
      </c>
    </row>
    <row r="19" spans="1:12" x14ac:dyDescent="0.3">
      <c r="B19" t="s">
        <v>27</v>
      </c>
      <c r="I19" s="3">
        <v>7366</v>
      </c>
      <c r="J19" s="3">
        <v>6550</v>
      </c>
      <c r="K19" s="3">
        <v>1182</v>
      </c>
      <c r="L19" s="3">
        <v>6727</v>
      </c>
    </row>
    <row r="20" spans="1:12" x14ac:dyDescent="0.3">
      <c r="B20" t="s">
        <v>28</v>
      </c>
      <c r="I20" s="3">
        <v>0</v>
      </c>
      <c r="J20" s="3">
        <v>0</v>
      </c>
      <c r="K20" s="3">
        <v>101</v>
      </c>
      <c r="L20" s="3">
        <v>-251</v>
      </c>
    </row>
    <row r="21" spans="1:12" x14ac:dyDescent="0.3">
      <c r="B21" s="4" t="s">
        <v>29</v>
      </c>
      <c r="C21" s="5">
        <v>6824</v>
      </c>
      <c r="D21" s="5">
        <v>11787</v>
      </c>
      <c r="E21" s="5">
        <v>8584</v>
      </c>
      <c r="F21" s="5">
        <v>9019</v>
      </c>
      <c r="G21" s="5">
        <v>8584</v>
      </c>
      <c r="H21" s="5">
        <v>7098</v>
      </c>
      <c r="I21" s="5">
        <v>7351</v>
      </c>
      <c r="J21" s="5">
        <v>6527</v>
      </c>
      <c r="K21" s="5">
        <v>1248</v>
      </c>
      <c r="L21" s="5">
        <v>6434</v>
      </c>
    </row>
    <row r="23" spans="1:12" x14ac:dyDescent="0.3">
      <c r="A23" t="s">
        <v>30</v>
      </c>
    </row>
    <row r="24" spans="1:12" x14ac:dyDescent="0.3">
      <c r="B24" t="s">
        <v>2</v>
      </c>
      <c r="C24" t="s">
        <v>3</v>
      </c>
      <c r="D24" t="s">
        <v>4</v>
      </c>
      <c r="E24" t="s">
        <v>5</v>
      </c>
      <c r="F24" t="s">
        <v>6</v>
      </c>
      <c r="G24" t="s">
        <v>7</v>
      </c>
      <c r="H24" t="s">
        <v>8</v>
      </c>
      <c r="I24" t="s">
        <v>9</v>
      </c>
      <c r="J24" t="s">
        <v>10</v>
      </c>
      <c r="K24" t="s">
        <v>11</v>
      </c>
      <c r="L24" t="s">
        <v>12</v>
      </c>
    </row>
    <row r="25" spans="1:12" x14ac:dyDescent="0.3">
      <c r="B25" t="s">
        <v>31</v>
      </c>
    </row>
    <row r="26" spans="1:12" x14ac:dyDescent="0.3">
      <c r="B26" t="s">
        <v>32</v>
      </c>
      <c r="C26" s="3">
        <v>7021</v>
      </c>
      <c r="D26" s="3">
        <v>8517</v>
      </c>
      <c r="E26" s="3">
        <v>12803</v>
      </c>
      <c r="F26" s="3">
        <v>8442</v>
      </c>
      <c r="G26" s="3">
        <v>10414</v>
      </c>
      <c r="H26" s="3">
        <v>8958</v>
      </c>
      <c r="I26" s="3">
        <v>7309</v>
      </c>
      <c r="J26" s="3">
        <v>8555</v>
      </c>
      <c r="K26" s="3">
        <v>6006</v>
      </c>
      <c r="L26" s="3">
        <v>8926</v>
      </c>
    </row>
    <row r="27" spans="1:12" x14ac:dyDescent="0.3">
      <c r="B27" t="s">
        <v>33</v>
      </c>
      <c r="C27" s="3">
        <v>2130</v>
      </c>
      <c r="D27" s="3">
        <v>2682</v>
      </c>
      <c r="E27" s="3">
        <v>1088</v>
      </c>
      <c r="F27" s="3">
        <v>5017</v>
      </c>
      <c r="G27" s="3">
        <v>6707</v>
      </c>
      <c r="H27" s="3">
        <v>9052</v>
      </c>
      <c r="I27" s="3">
        <v>8322</v>
      </c>
      <c r="J27" s="3">
        <v>9595</v>
      </c>
      <c r="K27" s="3">
        <v>9352</v>
      </c>
      <c r="L27" s="3">
        <v>2025</v>
      </c>
    </row>
    <row r="28" spans="1:12" x14ac:dyDescent="0.3">
      <c r="B28" s="4" t="s">
        <v>34</v>
      </c>
      <c r="C28" s="5">
        <v>9151</v>
      </c>
      <c r="D28" s="5">
        <v>11199</v>
      </c>
      <c r="E28" s="5">
        <v>13891</v>
      </c>
      <c r="F28" s="5">
        <v>13459</v>
      </c>
      <c r="G28" s="5">
        <v>17121</v>
      </c>
      <c r="H28" s="5">
        <v>18010</v>
      </c>
      <c r="I28" s="5">
        <v>15631</v>
      </c>
      <c r="J28" s="5">
        <v>18150</v>
      </c>
      <c r="K28" s="5">
        <v>15358</v>
      </c>
      <c r="L28" s="5">
        <v>10951</v>
      </c>
    </row>
    <row r="29" spans="1:12" x14ac:dyDescent="0.3">
      <c r="B29" t="s">
        <v>35</v>
      </c>
      <c r="C29" s="3">
        <v>62</v>
      </c>
      <c r="D29" s="3">
        <v>138</v>
      </c>
      <c r="E29" s="3">
        <v>144</v>
      </c>
      <c r="F29" s="3">
        <v>3092</v>
      </c>
      <c r="G29" s="3">
        <v>3147</v>
      </c>
      <c r="H29" s="3">
        <v>3665</v>
      </c>
      <c r="I29" s="3">
        <v>4269</v>
      </c>
      <c r="J29" s="3">
        <v>4051</v>
      </c>
      <c r="K29" s="3">
        <v>5317</v>
      </c>
      <c r="L29" s="3">
        <v>5013</v>
      </c>
    </row>
    <row r="30" spans="1:12" x14ac:dyDescent="0.3">
      <c r="B30" t="s">
        <v>36</v>
      </c>
      <c r="C30" s="3">
        <v>3758</v>
      </c>
      <c r="D30" s="3">
        <v>4430</v>
      </c>
      <c r="E30" s="3">
        <v>4920</v>
      </c>
      <c r="F30" s="3">
        <v>4759</v>
      </c>
      <c r="G30" s="3">
        <v>4873</v>
      </c>
      <c r="H30" s="3">
        <v>4466</v>
      </c>
      <c r="I30" s="3">
        <v>3941</v>
      </c>
      <c r="J30" s="3">
        <v>3856</v>
      </c>
      <c r="K30" s="3">
        <v>3667</v>
      </c>
      <c r="L30" s="3">
        <v>3396</v>
      </c>
    </row>
    <row r="31" spans="1:12" x14ac:dyDescent="0.3">
      <c r="B31" t="s">
        <v>37</v>
      </c>
      <c r="C31" s="3">
        <v>2354</v>
      </c>
      <c r="D31" s="3">
        <v>2650</v>
      </c>
      <c r="E31" s="3">
        <v>3092</v>
      </c>
      <c r="F31" s="3">
        <v>3264</v>
      </c>
      <c r="G31" s="3">
        <v>3277</v>
      </c>
      <c r="H31" s="3">
        <v>3100</v>
      </c>
      <c r="I31" s="3">
        <v>2902</v>
      </c>
      <c r="J31" s="3">
        <v>2675</v>
      </c>
      <c r="K31" s="3">
        <v>2655</v>
      </c>
      <c r="L31" s="3">
        <v>2766</v>
      </c>
    </row>
    <row r="32" spans="1:12" x14ac:dyDescent="0.3">
      <c r="B32" t="s">
        <v>38</v>
      </c>
      <c r="C32" s="3">
        <v>2226</v>
      </c>
      <c r="D32" s="3">
        <v>3162</v>
      </c>
      <c r="E32" s="3">
        <v>3450</v>
      </c>
      <c r="F32" s="3">
        <v>2781</v>
      </c>
      <c r="G32" s="3">
        <v>2886</v>
      </c>
      <c r="H32" s="3">
        <v>3066</v>
      </c>
      <c r="I32" s="3">
        <v>2752</v>
      </c>
      <c r="J32" s="3">
        <v>2481</v>
      </c>
      <c r="K32" s="3">
        <v>2000</v>
      </c>
      <c r="L32" s="3">
        <v>1962</v>
      </c>
    </row>
    <row r="33" spans="2:12" x14ac:dyDescent="0.3">
      <c r="B33" t="s">
        <v>39</v>
      </c>
      <c r="E33" s="3">
        <v>0</v>
      </c>
      <c r="F33" s="3">
        <v>2973</v>
      </c>
      <c r="G33" s="3">
        <v>0</v>
      </c>
      <c r="H33" s="3">
        <v>679</v>
      </c>
      <c r="I33" s="3">
        <v>3900</v>
      </c>
      <c r="J33" s="3">
        <v>0</v>
      </c>
      <c r="K33" s="3">
        <v>7329</v>
      </c>
      <c r="L33" s="3">
        <v>6546</v>
      </c>
    </row>
    <row r="34" spans="2:12" x14ac:dyDescent="0.3">
      <c r="B34" t="s">
        <v>39</v>
      </c>
      <c r="J34" s="3">
        <v>2797</v>
      </c>
      <c r="K34" s="3">
        <v>219</v>
      </c>
      <c r="L34" s="3">
        <v>0</v>
      </c>
    </row>
    <row r="35" spans="2:12" x14ac:dyDescent="0.3">
      <c r="B35" s="4" t="s">
        <v>40</v>
      </c>
      <c r="C35" s="5">
        <v>17551</v>
      </c>
      <c r="D35" s="5">
        <v>21579</v>
      </c>
      <c r="E35" s="5">
        <v>25497</v>
      </c>
      <c r="F35" s="5">
        <v>30328</v>
      </c>
      <c r="G35" s="5">
        <v>31304</v>
      </c>
      <c r="H35" s="5">
        <v>32986</v>
      </c>
      <c r="I35" s="5">
        <v>33395</v>
      </c>
      <c r="J35" s="5">
        <v>34010</v>
      </c>
      <c r="K35" s="5">
        <v>36545</v>
      </c>
      <c r="L35" s="5">
        <v>30634</v>
      </c>
    </row>
    <row r="36" spans="2:12" x14ac:dyDescent="0.3">
      <c r="B36" t="s">
        <v>41</v>
      </c>
      <c r="C36" s="3">
        <v>6217</v>
      </c>
      <c r="D36" s="3">
        <v>6954</v>
      </c>
      <c r="E36" s="3">
        <v>7233</v>
      </c>
      <c r="F36" s="3">
        <v>9216</v>
      </c>
      <c r="G36" s="3">
        <v>10393</v>
      </c>
      <c r="H36" s="3">
        <v>9947</v>
      </c>
      <c r="I36" s="3">
        <v>12318</v>
      </c>
      <c r="J36" s="3">
        <v>16260</v>
      </c>
      <c r="K36" s="3">
        <v>20856</v>
      </c>
      <c r="L36" s="3">
        <v>19407</v>
      </c>
    </row>
    <row r="37" spans="2:12" x14ac:dyDescent="0.3">
      <c r="B37" t="s">
        <v>42</v>
      </c>
      <c r="C37" s="3">
        <v>538</v>
      </c>
      <c r="D37" s="3">
        <v>631</v>
      </c>
      <c r="E37" s="3">
        <v>1141</v>
      </c>
      <c r="F37" s="3">
        <v>1232</v>
      </c>
      <c r="G37" s="3">
        <v>1119</v>
      </c>
      <c r="H37" s="3">
        <v>3678</v>
      </c>
      <c r="I37" s="3">
        <v>3470</v>
      </c>
      <c r="J37" s="3">
        <v>989</v>
      </c>
      <c r="K37" s="3">
        <v>1096</v>
      </c>
      <c r="L37" s="3">
        <v>867</v>
      </c>
    </row>
    <row r="38" spans="2:12" x14ac:dyDescent="0.3">
      <c r="B38" t="s">
        <v>43</v>
      </c>
      <c r="C38" s="3">
        <v>1976</v>
      </c>
      <c r="D38" s="3">
        <v>2121</v>
      </c>
      <c r="E38" s="3">
        <v>3495</v>
      </c>
      <c r="F38" s="3">
        <v>3585</v>
      </c>
      <c r="G38" s="3">
        <v>4661</v>
      </c>
      <c r="H38" s="3">
        <v>4407</v>
      </c>
      <c r="I38" s="3">
        <v>4110</v>
      </c>
      <c r="J38" s="3">
        <v>4248</v>
      </c>
      <c r="K38" s="3">
        <v>4230</v>
      </c>
      <c r="L38" s="3">
        <v>4139</v>
      </c>
    </row>
    <row r="39" spans="2:12" x14ac:dyDescent="0.3">
      <c r="B39" t="s">
        <v>44</v>
      </c>
      <c r="C39" s="3">
        <v>9561</v>
      </c>
      <c r="D39" s="3">
        <v>14727</v>
      </c>
      <c r="E39" s="3">
        <v>14939</v>
      </c>
      <c r="F39" s="3">
        <v>14476</v>
      </c>
      <c r="G39" s="3">
        <v>14967</v>
      </c>
      <c r="H39" s="3">
        <v>14633</v>
      </c>
      <c r="I39" s="3">
        <v>12571</v>
      </c>
      <c r="J39" s="3">
        <v>10635</v>
      </c>
      <c r="K39" s="3">
        <v>8203</v>
      </c>
      <c r="L39" s="3">
        <v>8232</v>
      </c>
    </row>
    <row r="40" spans="2:12" x14ac:dyDescent="0.3">
      <c r="B40" t="s">
        <v>45</v>
      </c>
      <c r="K40" s="3">
        <v>330</v>
      </c>
      <c r="L40" s="3">
        <v>2667</v>
      </c>
    </row>
    <row r="41" spans="2:12" x14ac:dyDescent="0.3">
      <c r="B41" t="s">
        <v>46</v>
      </c>
      <c r="C41" s="3">
        <v>6183</v>
      </c>
      <c r="D41" s="3">
        <v>6356</v>
      </c>
      <c r="E41" s="3">
        <v>6430</v>
      </c>
      <c r="F41" s="3">
        <v>6527</v>
      </c>
      <c r="G41" s="3">
        <v>6744</v>
      </c>
      <c r="H41" s="3">
        <v>6533</v>
      </c>
      <c r="I41" s="3">
        <v>5989</v>
      </c>
      <c r="J41" s="3">
        <v>6097</v>
      </c>
      <c r="K41" s="3">
        <v>6729</v>
      </c>
      <c r="L41" s="3">
        <v>6682</v>
      </c>
    </row>
    <row r="42" spans="2:12" x14ac:dyDescent="0.3">
      <c r="B42" t="s">
        <v>47</v>
      </c>
      <c r="C42" s="3">
        <v>1953</v>
      </c>
      <c r="D42" s="3">
        <v>7511</v>
      </c>
      <c r="E42" s="3">
        <v>7770</v>
      </c>
      <c r="F42" s="3">
        <v>7405</v>
      </c>
      <c r="G42" s="3">
        <v>7415</v>
      </c>
      <c r="H42" s="3">
        <v>6689</v>
      </c>
      <c r="I42" s="3">
        <v>6000</v>
      </c>
      <c r="J42" s="3">
        <v>3676</v>
      </c>
      <c r="K42" s="3">
        <v>138</v>
      </c>
      <c r="L42" s="3">
        <v>51</v>
      </c>
    </row>
    <row r="43" spans="2:12" x14ac:dyDescent="0.3">
      <c r="B43" t="s">
        <v>48</v>
      </c>
      <c r="C43" s="3">
        <v>4224</v>
      </c>
      <c r="D43" s="3">
        <v>11665</v>
      </c>
      <c r="E43" s="3">
        <v>12219</v>
      </c>
      <c r="F43" s="3">
        <v>12255</v>
      </c>
      <c r="G43" s="3">
        <v>12312</v>
      </c>
      <c r="H43" s="3">
        <v>12100</v>
      </c>
      <c r="I43" s="3">
        <v>11289</v>
      </c>
      <c r="J43" s="3">
        <v>10629</v>
      </c>
      <c r="K43" s="3">
        <v>9401</v>
      </c>
      <c r="L43" s="3">
        <v>10263</v>
      </c>
    </row>
    <row r="44" spans="2:12" x14ac:dyDescent="0.3">
      <c r="B44" t="s">
        <v>49</v>
      </c>
      <c r="C44" s="3">
        <v>468</v>
      </c>
      <c r="D44" s="3">
        <v>1377</v>
      </c>
      <c r="E44" s="3">
        <v>1250</v>
      </c>
      <c r="F44" s="3">
        <v>1150</v>
      </c>
      <c r="G44" s="3">
        <v>1140</v>
      </c>
      <c r="H44" s="3">
        <v>1050</v>
      </c>
      <c r="I44" s="3">
        <v>854</v>
      </c>
      <c r="J44" s="3">
        <v>726</v>
      </c>
      <c r="K44" s="3">
        <v>368</v>
      </c>
      <c r="L44" s="3">
        <v>274</v>
      </c>
    </row>
    <row r="45" spans="2:12" x14ac:dyDescent="0.3">
      <c r="B45" s="4" t="s">
        <v>50</v>
      </c>
      <c r="C45" s="5">
        <v>48671</v>
      </c>
      <c r="D45" s="5">
        <v>72921</v>
      </c>
      <c r="E45" s="5">
        <v>79974</v>
      </c>
      <c r="F45" s="5">
        <v>86174</v>
      </c>
      <c r="G45" s="5">
        <v>90055</v>
      </c>
      <c r="H45" s="5">
        <v>92023</v>
      </c>
      <c r="I45" s="5">
        <v>89996</v>
      </c>
      <c r="J45" s="5">
        <v>87270</v>
      </c>
      <c r="K45" s="5">
        <v>87896</v>
      </c>
      <c r="L45" s="5">
        <v>83216</v>
      </c>
    </row>
    <row r="46" spans="2:12" x14ac:dyDescent="0.3">
      <c r="B46" t="s">
        <v>51</v>
      </c>
    </row>
    <row r="47" spans="2:12" x14ac:dyDescent="0.3">
      <c r="B47" t="s">
        <v>52</v>
      </c>
      <c r="C47" s="3">
        <v>6657</v>
      </c>
      <c r="D47" s="3">
        <v>8859</v>
      </c>
      <c r="E47" s="3">
        <v>9009</v>
      </c>
      <c r="F47" s="3">
        <v>8680</v>
      </c>
      <c r="G47" s="3">
        <v>9577</v>
      </c>
      <c r="H47" s="3">
        <v>9234</v>
      </c>
      <c r="I47" s="3">
        <v>9660</v>
      </c>
      <c r="J47" s="3">
        <v>9490</v>
      </c>
      <c r="K47" s="3">
        <v>8748</v>
      </c>
      <c r="L47" s="3">
        <v>8932</v>
      </c>
    </row>
    <row r="48" spans="2:12" x14ac:dyDescent="0.3">
      <c r="B48" t="s">
        <v>53</v>
      </c>
      <c r="C48" s="3">
        <v>6749</v>
      </c>
      <c r="D48" s="3">
        <v>8100</v>
      </c>
      <c r="E48" s="3">
        <v>12871</v>
      </c>
      <c r="F48" s="3">
        <v>16297</v>
      </c>
      <c r="G48" s="3">
        <v>16901</v>
      </c>
      <c r="H48" s="3">
        <v>19130</v>
      </c>
      <c r="I48" s="3">
        <v>13129</v>
      </c>
      <c r="J48" s="3">
        <v>12498</v>
      </c>
      <c r="K48" s="3">
        <v>13205</v>
      </c>
      <c r="L48" s="3">
        <v>13194</v>
      </c>
    </row>
    <row r="49" spans="2:12" x14ac:dyDescent="0.3">
      <c r="B49" t="s">
        <v>54</v>
      </c>
      <c r="C49" s="3">
        <v>51</v>
      </c>
      <c r="D49" s="3">
        <v>1276</v>
      </c>
      <c r="E49" s="3">
        <v>2041</v>
      </c>
      <c r="F49" s="3">
        <v>1577</v>
      </c>
      <c r="G49" s="3">
        <v>1024</v>
      </c>
      <c r="H49" s="3">
        <v>3552</v>
      </c>
      <c r="I49" s="3">
        <v>2676</v>
      </c>
      <c r="J49" s="3">
        <v>3527</v>
      </c>
      <c r="K49" s="3">
        <v>3298</v>
      </c>
      <c r="L49" s="3">
        <v>4997</v>
      </c>
    </row>
    <row r="50" spans="2:12" x14ac:dyDescent="0.3">
      <c r="B50" t="s">
        <v>55</v>
      </c>
      <c r="C50" s="3">
        <v>264</v>
      </c>
      <c r="D50" s="3">
        <v>273</v>
      </c>
      <c r="E50" s="3">
        <v>362</v>
      </c>
      <c r="F50" s="3">
        <v>471</v>
      </c>
      <c r="G50" s="3">
        <v>309</v>
      </c>
      <c r="H50" s="3">
        <v>400</v>
      </c>
      <c r="I50" s="3">
        <v>331</v>
      </c>
      <c r="J50" s="3">
        <v>307</v>
      </c>
      <c r="K50" s="3">
        <v>410</v>
      </c>
      <c r="L50" s="3">
        <v>378</v>
      </c>
    </row>
    <row r="51" spans="2:12" x14ac:dyDescent="0.3">
      <c r="B51" t="s">
        <v>56</v>
      </c>
      <c r="E51" s="3">
        <v>0</v>
      </c>
      <c r="F51" s="3">
        <v>796</v>
      </c>
      <c r="G51" s="3">
        <v>0</v>
      </c>
      <c r="H51" s="3">
        <v>58</v>
      </c>
      <c r="I51" s="3">
        <v>1133</v>
      </c>
      <c r="J51" s="3">
        <v>710</v>
      </c>
      <c r="K51" s="3">
        <v>37</v>
      </c>
      <c r="L51" s="3">
        <v>0</v>
      </c>
    </row>
    <row r="52" spans="2:12" x14ac:dyDescent="0.3">
      <c r="B52" t="s">
        <v>57</v>
      </c>
      <c r="J52" s="3">
        <v>0</v>
      </c>
      <c r="K52" s="3">
        <v>1496</v>
      </c>
      <c r="L52" s="3">
        <v>1722</v>
      </c>
    </row>
    <row r="53" spans="2:12" x14ac:dyDescent="0.3">
      <c r="B53" s="4" t="s">
        <v>58</v>
      </c>
      <c r="C53" s="5">
        <v>13721</v>
      </c>
      <c r="D53" s="5">
        <v>18508</v>
      </c>
      <c r="E53" s="5">
        <v>24283</v>
      </c>
      <c r="F53" s="5">
        <v>27821</v>
      </c>
      <c r="G53" s="5">
        <v>27811</v>
      </c>
      <c r="H53" s="5">
        <v>32374</v>
      </c>
      <c r="I53" s="5">
        <v>26929</v>
      </c>
      <c r="J53" s="5">
        <v>26532</v>
      </c>
      <c r="K53" s="5">
        <v>27194</v>
      </c>
      <c r="L53" s="5">
        <v>29223</v>
      </c>
    </row>
    <row r="54" spans="2:12" x14ac:dyDescent="0.3">
      <c r="B54" t="s">
        <v>59</v>
      </c>
      <c r="C54" s="3">
        <v>5059</v>
      </c>
      <c r="D54" s="3">
        <v>14041</v>
      </c>
      <c r="E54" s="3">
        <v>13656</v>
      </c>
      <c r="F54" s="3">
        <v>14736</v>
      </c>
      <c r="G54" s="3">
        <v>19154</v>
      </c>
      <c r="H54" s="3">
        <v>19063</v>
      </c>
      <c r="I54" s="3">
        <v>28311</v>
      </c>
      <c r="J54" s="3">
        <v>29684</v>
      </c>
      <c r="K54" s="3">
        <v>31182</v>
      </c>
      <c r="L54" s="3">
        <v>25364</v>
      </c>
    </row>
    <row r="55" spans="2:12" x14ac:dyDescent="0.3">
      <c r="B55" t="s">
        <v>60</v>
      </c>
      <c r="C55" s="3">
        <v>2965</v>
      </c>
      <c r="D55" s="3">
        <v>4794</v>
      </c>
      <c r="E55" s="3">
        <v>5420</v>
      </c>
      <c r="F55" s="3">
        <v>5468</v>
      </c>
      <c r="G55" s="3">
        <v>3498</v>
      </c>
      <c r="H55" s="3">
        <v>4389</v>
      </c>
      <c r="I55" s="3">
        <v>4301</v>
      </c>
      <c r="J55" s="3">
        <v>4081</v>
      </c>
      <c r="K55" s="3">
        <v>8021</v>
      </c>
      <c r="L55" s="3">
        <v>7638</v>
      </c>
    </row>
    <row r="56" spans="2:12" x14ac:dyDescent="0.3">
      <c r="B56" t="s">
        <v>61</v>
      </c>
      <c r="C56" s="3">
        <v>1580</v>
      </c>
      <c r="D56" s="3">
        <v>4261</v>
      </c>
      <c r="E56" s="3">
        <v>4694</v>
      </c>
      <c r="F56" s="3">
        <v>4981</v>
      </c>
      <c r="G56" s="3">
        <v>6152</v>
      </c>
      <c r="H56" s="3">
        <v>5636</v>
      </c>
      <c r="I56" s="3">
        <v>4691</v>
      </c>
      <c r="J56" s="3">
        <v>3753</v>
      </c>
      <c r="K56" s="3">
        <v>2522</v>
      </c>
      <c r="L56" s="3">
        <v>1933</v>
      </c>
    </row>
    <row r="57" spans="2:12" x14ac:dyDescent="0.3">
      <c r="B57" t="s">
        <v>62</v>
      </c>
      <c r="C57" s="3">
        <v>880</v>
      </c>
      <c r="D57" s="3">
        <v>880</v>
      </c>
      <c r="E57" s="3">
        <v>1760</v>
      </c>
      <c r="F57" s="3">
        <v>1760</v>
      </c>
      <c r="G57" s="3">
        <v>1760</v>
      </c>
      <c r="H57" s="3">
        <v>1760</v>
      </c>
      <c r="I57" s="3">
        <v>1760</v>
      </c>
      <c r="J57" s="3">
        <v>1760</v>
      </c>
      <c r="K57" s="3">
        <v>1760</v>
      </c>
      <c r="L57" s="3">
        <v>1760</v>
      </c>
    </row>
    <row r="58" spans="2:12" x14ac:dyDescent="0.3">
      <c r="B58" t="s">
        <v>63</v>
      </c>
      <c r="C58" s="3">
        <v>8537</v>
      </c>
      <c r="D58" s="3">
        <v>10057</v>
      </c>
      <c r="E58" s="3">
        <v>10332</v>
      </c>
      <c r="F58" s="3">
        <v>11379</v>
      </c>
      <c r="G58" s="3">
        <v>12276</v>
      </c>
      <c r="H58" s="3">
        <v>13154</v>
      </c>
      <c r="I58" s="3">
        <v>14016</v>
      </c>
      <c r="J58" s="3">
        <v>14993</v>
      </c>
      <c r="K58" s="3">
        <v>15864</v>
      </c>
      <c r="L58" s="3">
        <v>16520</v>
      </c>
    </row>
    <row r="59" spans="2:12" x14ac:dyDescent="0.3">
      <c r="B59" t="s">
        <v>64</v>
      </c>
      <c r="C59" s="3">
        <v>41537</v>
      </c>
      <c r="D59" s="3">
        <v>49278</v>
      </c>
      <c r="E59" s="3">
        <v>53621</v>
      </c>
      <c r="F59" s="3">
        <v>58045</v>
      </c>
      <c r="G59" s="3">
        <v>61660</v>
      </c>
      <c r="H59" s="3">
        <v>63408</v>
      </c>
      <c r="I59" s="3">
        <v>65018</v>
      </c>
      <c r="J59" s="3">
        <v>65502</v>
      </c>
      <c r="K59" s="3">
        <v>60430</v>
      </c>
      <c r="L59" s="3">
        <v>63234</v>
      </c>
    </row>
    <row r="60" spans="2:12" x14ac:dyDescent="0.3">
      <c r="B60" t="s">
        <v>65</v>
      </c>
      <c r="C60" s="3">
        <v>-757</v>
      </c>
      <c r="D60" s="3">
        <v>-1450</v>
      </c>
      <c r="E60" s="3">
        <v>-2774</v>
      </c>
      <c r="F60" s="3">
        <v>-3385</v>
      </c>
      <c r="G60" s="3">
        <v>-3432</v>
      </c>
      <c r="H60" s="3">
        <v>-5777</v>
      </c>
      <c r="I60" s="3">
        <v>-10174</v>
      </c>
      <c r="J60" s="3">
        <v>-11205</v>
      </c>
      <c r="K60" s="3">
        <v>-10305</v>
      </c>
      <c r="L60" s="3">
        <v>-12814</v>
      </c>
    </row>
    <row r="61" spans="2:12" x14ac:dyDescent="0.3">
      <c r="B61" t="s">
        <v>66</v>
      </c>
      <c r="C61" s="3">
        <v>-25398</v>
      </c>
      <c r="D61" s="3">
        <v>-27762</v>
      </c>
      <c r="E61" s="3">
        <v>-31304</v>
      </c>
      <c r="F61" s="3">
        <v>-35009</v>
      </c>
      <c r="G61" s="3">
        <v>-39091</v>
      </c>
      <c r="H61" s="3">
        <v>-42225</v>
      </c>
      <c r="I61" s="3">
        <v>-45066</v>
      </c>
      <c r="J61" s="3">
        <v>-47988</v>
      </c>
      <c r="K61" s="3">
        <v>-50677</v>
      </c>
      <c r="L61" s="3">
        <v>-51719</v>
      </c>
    </row>
    <row r="62" spans="2:12" x14ac:dyDescent="0.3">
      <c r="B62" s="4" t="s">
        <v>67</v>
      </c>
      <c r="C62" s="5">
        <v>24799</v>
      </c>
      <c r="D62" s="5">
        <v>31003</v>
      </c>
      <c r="E62" s="5">
        <v>31635</v>
      </c>
      <c r="F62" s="5">
        <v>32790</v>
      </c>
      <c r="G62" s="5">
        <v>33173</v>
      </c>
      <c r="H62" s="5">
        <v>30320</v>
      </c>
      <c r="I62" s="5">
        <v>25554</v>
      </c>
      <c r="J62" s="5">
        <v>23062</v>
      </c>
      <c r="K62" s="5">
        <v>17072</v>
      </c>
      <c r="L62" s="5">
        <v>16981</v>
      </c>
    </row>
    <row r="63" spans="2:12" x14ac:dyDescent="0.3">
      <c r="B63" t="s">
        <v>68</v>
      </c>
      <c r="C63" s="3">
        <v>547</v>
      </c>
      <c r="D63" s="3">
        <v>314</v>
      </c>
      <c r="E63" s="3">
        <v>286</v>
      </c>
      <c r="F63" s="3">
        <v>378</v>
      </c>
      <c r="G63" s="3">
        <v>267</v>
      </c>
      <c r="H63" s="3">
        <v>241</v>
      </c>
      <c r="I63" s="3">
        <v>210</v>
      </c>
      <c r="J63" s="3">
        <v>158</v>
      </c>
      <c r="K63" s="3">
        <v>1905</v>
      </c>
      <c r="L63" s="3">
        <v>2077</v>
      </c>
    </row>
    <row r="64" spans="2:12" x14ac:dyDescent="0.3">
      <c r="B64" s="4" t="s">
        <v>69</v>
      </c>
      <c r="C64" s="5">
        <v>25346</v>
      </c>
      <c r="D64" s="5">
        <v>31317</v>
      </c>
      <c r="E64" s="5">
        <v>31921</v>
      </c>
      <c r="F64" s="5">
        <v>33168</v>
      </c>
      <c r="G64" s="5">
        <v>33440</v>
      </c>
      <c r="H64" s="5">
        <v>30561</v>
      </c>
      <c r="I64" s="5">
        <v>25764</v>
      </c>
      <c r="J64" s="5">
        <v>23220</v>
      </c>
      <c r="K64" s="5">
        <v>18977</v>
      </c>
      <c r="L64" s="5">
        <v>19058</v>
      </c>
    </row>
    <row r="65" spans="1:12" x14ac:dyDescent="0.3">
      <c r="B65" s="4" t="s">
        <v>70</v>
      </c>
      <c r="C65" s="5">
        <v>48671</v>
      </c>
      <c r="D65" s="5">
        <v>72921</v>
      </c>
      <c r="E65" s="5">
        <v>79974</v>
      </c>
      <c r="F65" s="5">
        <v>86174</v>
      </c>
      <c r="G65" s="5">
        <v>90055</v>
      </c>
      <c r="H65" s="5">
        <v>92023</v>
      </c>
      <c r="I65" s="5">
        <v>89996</v>
      </c>
      <c r="J65" s="5">
        <v>87270</v>
      </c>
      <c r="K65" s="5">
        <v>87896</v>
      </c>
      <c r="L65" s="5">
        <v>83216</v>
      </c>
    </row>
    <row r="67" spans="1:12" x14ac:dyDescent="0.3">
      <c r="A67" t="s">
        <v>71</v>
      </c>
    </row>
    <row r="68" spans="1:12" x14ac:dyDescent="0.3">
      <c r="B68" t="s">
        <v>2</v>
      </c>
      <c r="C68" t="s">
        <v>3</v>
      </c>
      <c r="D68" t="s">
        <v>4</v>
      </c>
      <c r="E68" t="s">
        <v>5</v>
      </c>
      <c r="F68" t="s">
        <v>6</v>
      </c>
      <c r="G68" t="s">
        <v>7</v>
      </c>
      <c r="H68" t="s">
        <v>8</v>
      </c>
      <c r="I68" t="s">
        <v>9</v>
      </c>
      <c r="J68" t="s">
        <v>10</v>
      </c>
      <c r="K68" t="s">
        <v>11</v>
      </c>
      <c r="L68" t="s">
        <v>12</v>
      </c>
    </row>
    <row r="69" spans="1:12" x14ac:dyDescent="0.3">
      <c r="B69" t="s">
        <v>25</v>
      </c>
      <c r="C69" s="3">
        <v>6906</v>
      </c>
      <c r="D69" s="3">
        <v>11837</v>
      </c>
      <c r="E69" s="3">
        <v>8646</v>
      </c>
      <c r="F69" s="3">
        <v>9086</v>
      </c>
      <c r="G69" s="3">
        <v>8626</v>
      </c>
      <c r="H69" s="3">
        <v>7124</v>
      </c>
      <c r="I69" s="3">
        <v>7366</v>
      </c>
      <c r="J69" s="3">
        <v>6550</v>
      </c>
      <c r="K69" s="3">
        <v>1283</v>
      </c>
      <c r="L69" s="3">
        <v>6476</v>
      </c>
    </row>
    <row r="70" spans="1:12" x14ac:dyDescent="0.3">
      <c r="B70" t="s">
        <v>72</v>
      </c>
      <c r="C70" s="3">
        <v>1236</v>
      </c>
      <c r="D70" s="3">
        <v>1443</v>
      </c>
      <c r="E70" s="3">
        <v>1954</v>
      </c>
      <c r="F70" s="3">
        <v>1982</v>
      </c>
      <c r="G70" s="3">
        <v>1977</v>
      </c>
      <c r="H70" s="3">
        <v>1976</v>
      </c>
      <c r="I70" s="3">
        <v>1970</v>
      </c>
      <c r="J70" s="3">
        <v>1787</v>
      </c>
      <c r="K70" s="3">
        <v>1260</v>
      </c>
      <c r="L70" s="3">
        <v>1086</v>
      </c>
    </row>
    <row r="71" spans="1:12" x14ac:dyDescent="0.3">
      <c r="B71" t="s">
        <v>73</v>
      </c>
      <c r="I71" s="3">
        <v>0</v>
      </c>
      <c r="J71" s="3">
        <v>0</v>
      </c>
      <c r="K71" s="3">
        <v>-101</v>
      </c>
      <c r="L71" s="3">
        <v>251</v>
      </c>
    </row>
    <row r="72" spans="1:12" x14ac:dyDescent="0.3">
      <c r="B72" t="s">
        <v>27</v>
      </c>
      <c r="I72" s="3">
        <v>7366</v>
      </c>
      <c r="J72" s="3">
        <v>6550</v>
      </c>
      <c r="K72" s="3">
        <v>1182</v>
      </c>
      <c r="L72" s="3">
        <v>6727</v>
      </c>
    </row>
    <row r="73" spans="1:12" x14ac:dyDescent="0.3">
      <c r="B73" t="s">
        <v>74</v>
      </c>
      <c r="C73" s="3">
        <v>241</v>
      </c>
      <c r="D73" s="3">
        <v>380</v>
      </c>
      <c r="E73" s="3">
        <v>354</v>
      </c>
      <c r="F73" s="3">
        <v>259</v>
      </c>
      <c r="G73" s="3">
        <v>227</v>
      </c>
      <c r="H73" s="3">
        <v>209</v>
      </c>
      <c r="I73" s="3">
        <v>236</v>
      </c>
      <c r="J73" s="3">
        <v>258</v>
      </c>
      <c r="K73" s="3">
        <v>219</v>
      </c>
      <c r="L73" s="3">
        <v>225</v>
      </c>
    </row>
    <row r="74" spans="1:12" x14ac:dyDescent="0.3">
      <c r="B74" t="s">
        <v>61</v>
      </c>
      <c r="C74" s="3">
        <v>353</v>
      </c>
      <c r="D74" s="3">
        <v>604</v>
      </c>
      <c r="E74" s="3">
        <v>1035</v>
      </c>
      <c r="F74" s="3">
        <v>632</v>
      </c>
      <c r="G74" s="3">
        <v>648</v>
      </c>
      <c r="H74" s="3">
        <v>-40</v>
      </c>
      <c r="I74" s="3">
        <v>73</v>
      </c>
      <c r="J74" s="3">
        <v>-856</v>
      </c>
      <c r="K74" s="3">
        <v>-1256</v>
      </c>
      <c r="L74" s="3">
        <v>-450</v>
      </c>
    </row>
    <row r="75" spans="1:12" x14ac:dyDescent="0.3">
      <c r="B75" t="s">
        <v>75</v>
      </c>
      <c r="C75" s="3">
        <v>-359</v>
      </c>
      <c r="D75" s="3">
        <v>-671</v>
      </c>
      <c r="E75" s="3">
        <v>-269</v>
      </c>
      <c r="F75" s="3">
        <v>-426</v>
      </c>
      <c r="G75" s="3">
        <v>-201</v>
      </c>
      <c r="H75" s="3">
        <v>-371</v>
      </c>
      <c r="I75" s="3">
        <v>-122</v>
      </c>
      <c r="J75" s="3">
        <v>-449</v>
      </c>
      <c r="K75" s="3">
        <v>-628</v>
      </c>
      <c r="L75" s="3">
        <v>-457</v>
      </c>
    </row>
    <row r="76" spans="1:12" x14ac:dyDescent="0.3">
      <c r="B76" t="s">
        <v>76</v>
      </c>
      <c r="C76" s="3">
        <v>61</v>
      </c>
      <c r="D76" s="3">
        <v>151</v>
      </c>
      <c r="E76" s="3">
        <v>7</v>
      </c>
      <c r="F76" s="3">
        <v>-130</v>
      </c>
      <c r="G76" s="3">
        <v>168</v>
      </c>
      <c r="H76" s="3">
        <v>415</v>
      </c>
      <c r="I76" s="3">
        <v>-137</v>
      </c>
      <c r="J76" s="3">
        <v>158</v>
      </c>
      <c r="K76" s="3">
        <v>281</v>
      </c>
      <c r="L76" s="3">
        <v>-38</v>
      </c>
    </row>
    <row r="77" spans="1:12" x14ac:dyDescent="0.3">
      <c r="B77" t="s">
        <v>77</v>
      </c>
      <c r="C77" s="3">
        <v>-43</v>
      </c>
      <c r="D77" s="3">
        <v>-645</v>
      </c>
      <c r="E77" s="3">
        <v>-220</v>
      </c>
      <c r="F77" s="3">
        <v>-98</v>
      </c>
      <c r="G77" s="3">
        <v>-670</v>
      </c>
      <c r="H77" s="3">
        <v>831</v>
      </c>
      <c r="I77" s="3">
        <v>-374</v>
      </c>
      <c r="J77" s="3">
        <v>1146</v>
      </c>
      <c r="K77" s="3">
        <v>1459</v>
      </c>
      <c r="L77" s="3">
        <v>189</v>
      </c>
    </row>
    <row r="78" spans="1:12" x14ac:dyDescent="0.3">
      <c r="B78" t="s">
        <v>78</v>
      </c>
      <c r="C78" s="3">
        <v>0</v>
      </c>
      <c r="D78" s="3">
        <v>-4713</v>
      </c>
    </row>
    <row r="79" spans="1:12" x14ac:dyDescent="0.3">
      <c r="B79" t="s">
        <v>17</v>
      </c>
      <c r="C79" s="3">
        <v>134</v>
      </c>
      <c r="D79" s="3">
        <v>264</v>
      </c>
      <c r="E79" s="3">
        <v>214</v>
      </c>
      <c r="F79" s="3">
        <v>166</v>
      </c>
      <c r="G79" s="3">
        <v>465</v>
      </c>
      <c r="H79" s="3">
        <v>761</v>
      </c>
      <c r="I79" s="3">
        <v>929</v>
      </c>
      <c r="J79" s="3">
        <v>647</v>
      </c>
      <c r="K79" s="3">
        <v>1218</v>
      </c>
      <c r="L79" s="3">
        <v>558</v>
      </c>
    </row>
    <row r="80" spans="1:12" x14ac:dyDescent="0.3">
      <c r="B80" t="s">
        <v>79</v>
      </c>
      <c r="C80" s="3">
        <v>221</v>
      </c>
      <c r="D80" s="3">
        <v>512</v>
      </c>
      <c r="E80" s="3">
        <v>-354</v>
      </c>
      <c r="F80" s="3">
        <v>254</v>
      </c>
      <c r="G80" s="3">
        <v>234</v>
      </c>
      <c r="H80" s="3">
        <v>149</v>
      </c>
      <c r="I80" s="3">
        <v>744</v>
      </c>
      <c r="J80" s="3">
        <v>-224</v>
      </c>
      <c r="K80" s="3">
        <v>-269</v>
      </c>
      <c r="L80" s="3">
        <v>682</v>
      </c>
    </row>
    <row r="81" spans="2:12" x14ac:dyDescent="0.3">
      <c r="B81" t="s">
        <v>80</v>
      </c>
      <c r="C81" s="3">
        <v>-564</v>
      </c>
      <c r="D81" s="3">
        <v>370</v>
      </c>
      <c r="E81" s="3">
        <v>-1893</v>
      </c>
      <c r="F81" s="3">
        <v>-1080</v>
      </c>
      <c r="G81" s="3">
        <v>-932</v>
      </c>
      <c r="H81" s="3">
        <v>-439</v>
      </c>
      <c r="I81" s="3">
        <v>-157</v>
      </c>
      <c r="J81" s="3">
        <v>-221</v>
      </c>
      <c r="K81" s="3">
        <v>3464</v>
      </c>
      <c r="L81" s="3">
        <v>-1202</v>
      </c>
    </row>
    <row r="82" spans="2:12" x14ac:dyDescent="0.3">
      <c r="B82" s="4" t="s">
        <v>81</v>
      </c>
      <c r="C82" s="5">
        <v>8186</v>
      </c>
      <c r="D82" s="5">
        <v>9532</v>
      </c>
      <c r="E82" s="5">
        <v>9474</v>
      </c>
      <c r="F82" s="5">
        <v>10645</v>
      </c>
      <c r="G82" s="5">
        <v>10542</v>
      </c>
      <c r="H82" s="5">
        <v>10615</v>
      </c>
      <c r="I82" s="5">
        <v>10528</v>
      </c>
      <c r="J82" s="5">
        <v>8796</v>
      </c>
      <c r="K82" s="5">
        <v>6930</v>
      </c>
      <c r="L82" s="5">
        <v>7320</v>
      </c>
    </row>
    <row r="83" spans="2:12" x14ac:dyDescent="0.3">
      <c r="B83" t="s">
        <v>82</v>
      </c>
      <c r="C83" s="3">
        <v>-2130</v>
      </c>
      <c r="D83" s="3">
        <v>-4579</v>
      </c>
    </row>
    <row r="84" spans="2:12" x14ac:dyDescent="0.3">
      <c r="B84" t="s">
        <v>83</v>
      </c>
      <c r="C84" s="3">
        <v>-22</v>
      </c>
      <c r="D84" s="3">
        <v>-132</v>
      </c>
      <c r="E84" s="3">
        <v>-4798</v>
      </c>
      <c r="F84" s="3">
        <v>-14824</v>
      </c>
      <c r="G84" s="3">
        <v>-14782</v>
      </c>
      <c r="H84" s="3">
        <v>-17800</v>
      </c>
      <c r="I84" s="3">
        <v>-15831</v>
      </c>
      <c r="J84" s="3">
        <v>-15499</v>
      </c>
      <c r="K84" s="3">
        <v>-17296</v>
      </c>
      <c r="L84" s="3">
        <v>-7789</v>
      </c>
    </row>
    <row r="85" spans="2:12" x14ac:dyDescent="0.3">
      <c r="B85" t="s">
        <v>84</v>
      </c>
      <c r="C85" s="3">
        <v>0</v>
      </c>
      <c r="D85" s="3">
        <v>4032</v>
      </c>
      <c r="E85" s="3">
        <v>5811</v>
      </c>
      <c r="F85" s="3">
        <v>7791</v>
      </c>
      <c r="G85" s="3">
        <v>12791</v>
      </c>
      <c r="H85" s="3">
        <v>12986</v>
      </c>
      <c r="I85" s="3">
        <v>14079</v>
      </c>
      <c r="J85" s="3">
        <v>16624</v>
      </c>
      <c r="K85" s="3">
        <v>16694</v>
      </c>
      <c r="L85" s="3">
        <v>14977</v>
      </c>
    </row>
    <row r="86" spans="2:12" x14ac:dyDescent="0.3">
      <c r="B86" t="s">
        <v>85</v>
      </c>
      <c r="C86" s="3">
        <v>-300</v>
      </c>
      <c r="D86" s="3">
        <v>-2511</v>
      </c>
      <c r="E86" s="3">
        <v>-971</v>
      </c>
      <c r="F86" s="3">
        <v>-1486</v>
      </c>
      <c r="G86" s="3">
        <v>-353</v>
      </c>
      <c r="H86" s="3">
        <v>-389</v>
      </c>
      <c r="I86" s="3">
        <v>-2491</v>
      </c>
      <c r="J86" s="3">
        <v>-838</v>
      </c>
      <c r="K86" s="3">
        <v>-3809</v>
      </c>
      <c r="L86" s="3">
        <v>-1040</v>
      </c>
    </row>
    <row r="87" spans="2:12" x14ac:dyDescent="0.3">
      <c r="B87" t="s">
        <v>86</v>
      </c>
      <c r="C87" s="3">
        <v>240</v>
      </c>
      <c r="D87" s="3">
        <v>972</v>
      </c>
      <c r="E87" s="3">
        <v>398</v>
      </c>
      <c r="F87" s="3">
        <v>20</v>
      </c>
      <c r="G87" s="3">
        <v>872</v>
      </c>
      <c r="H87" s="3">
        <v>148</v>
      </c>
      <c r="I87" s="3">
        <v>565</v>
      </c>
      <c r="J87" s="3">
        <v>1035</v>
      </c>
      <c r="K87" s="3">
        <v>3821</v>
      </c>
      <c r="L87" s="3">
        <v>1362</v>
      </c>
    </row>
    <row r="88" spans="2:12" x14ac:dyDescent="0.3">
      <c r="B88" t="s">
        <v>87</v>
      </c>
      <c r="C88" s="3">
        <v>-1993</v>
      </c>
      <c r="D88" s="3">
        <v>-2215</v>
      </c>
      <c r="E88" s="3">
        <v>-2920</v>
      </c>
      <c r="F88" s="3">
        <v>-2780</v>
      </c>
      <c r="G88" s="3">
        <v>-2550</v>
      </c>
      <c r="H88" s="3">
        <v>-2406</v>
      </c>
      <c r="I88" s="3">
        <v>-2553</v>
      </c>
      <c r="J88" s="3">
        <v>-2262</v>
      </c>
      <c r="K88" s="3">
        <v>-1675</v>
      </c>
      <c r="L88" s="3">
        <v>-1347</v>
      </c>
    </row>
    <row r="89" spans="2:12" x14ac:dyDescent="0.3">
      <c r="B89" t="s">
        <v>88</v>
      </c>
      <c r="C89" s="3">
        <v>104</v>
      </c>
      <c r="D89" s="3">
        <v>134</v>
      </c>
      <c r="E89" s="3">
        <v>101</v>
      </c>
      <c r="F89" s="3">
        <v>143</v>
      </c>
      <c r="G89" s="3">
        <v>111</v>
      </c>
      <c r="H89" s="3">
        <v>223</v>
      </c>
      <c r="I89" s="3">
        <v>85</v>
      </c>
      <c r="J89" s="3">
        <v>150</v>
      </c>
      <c r="K89" s="3">
        <v>104</v>
      </c>
      <c r="L89" s="3">
        <v>245</v>
      </c>
    </row>
    <row r="90" spans="2:12" x14ac:dyDescent="0.3">
      <c r="B90" t="s">
        <v>89</v>
      </c>
      <c r="C90" s="3">
        <v>-48</v>
      </c>
      <c r="D90" s="3">
        <v>-106</v>
      </c>
      <c r="E90" s="3">
        <v>-145</v>
      </c>
      <c r="F90" s="3">
        <v>-268</v>
      </c>
      <c r="G90" s="3">
        <v>-303</v>
      </c>
      <c r="H90" s="3">
        <v>-268</v>
      </c>
      <c r="I90" s="3">
        <v>-40</v>
      </c>
      <c r="J90" s="3">
        <v>-209</v>
      </c>
      <c r="K90" s="3">
        <v>-93</v>
      </c>
      <c r="L90" s="3">
        <v>-60</v>
      </c>
    </row>
    <row r="91" spans="2:12" x14ac:dyDescent="0.3">
      <c r="B91" s="4" t="s">
        <v>90</v>
      </c>
      <c r="C91" s="5">
        <v>-4149</v>
      </c>
      <c r="D91" s="5">
        <v>-4405</v>
      </c>
      <c r="E91" s="5">
        <v>-2524</v>
      </c>
      <c r="F91" s="5">
        <v>-11404</v>
      </c>
      <c r="G91" s="5">
        <v>-4214</v>
      </c>
      <c r="H91" s="5">
        <v>-7506</v>
      </c>
      <c r="I91" s="5">
        <v>-6186</v>
      </c>
      <c r="J91" s="5">
        <v>-999</v>
      </c>
      <c r="K91" s="5">
        <v>-2254</v>
      </c>
      <c r="L91" s="5">
        <v>6348</v>
      </c>
    </row>
    <row r="92" spans="2:12" x14ac:dyDescent="0.3">
      <c r="B92" t="s">
        <v>91</v>
      </c>
      <c r="C92" s="3">
        <v>14689</v>
      </c>
      <c r="D92" s="3">
        <v>15251</v>
      </c>
      <c r="E92" s="3">
        <v>27495</v>
      </c>
      <c r="F92" s="3">
        <v>42791</v>
      </c>
      <c r="G92" s="3">
        <v>43425</v>
      </c>
      <c r="H92" s="3">
        <v>41674</v>
      </c>
      <c r="I92" s="3">
        <v>40434</v>
      </c>
      <c r="J92" s="3">
        <v>27281</v>
      </c>
      <c r="K92" s="3">
        <v>29857</v>
      </c>
      <c r="L92" s="3">
        <v>27339</v>
      </c>
    </row>
    <row r="93" spans="2:12" x14ac:dyDescent="0.3">
      <c r="B93" t="s">
        <v>92</v>
      </c>
      <c r="C93" s="3">
        <v>-12326</v>
      </c>
      <c r="D93" s="3">
        <v>-13403</v>
      </c>
      <c r="E93" s="3">
        <v>-22530</v>
      </c>
      <c r="F93" s="3">
        <v>-38573</v>
      </c>
      <c r="G93" s="3">
        <v>-38714</v>
      </c>
      <c r="H93" s="3">
        <v>-36962</v>
      </c>
      <c r="I93" s="3">
        <v>-37738</v>
      </c>
      <c r="J93" s="3">
        <v>-25615</v>
      </c>
      <c r="K93" s="3">
        <v>-28768</v>
      </c>
      <c r="L93" s="3">
        <v>-30568</v>
      </c>
    </row>
    <row r="94" spans="2:12" x14ac:dyDescent="0.3">
      <c r="B94" t="s">
        <v>93</v>
      </c>
      <c r="C94" s="3">
        <v>664</v>
      </c>
      <c r="D94" s="3">
        <v>1666</v>
      </c>
      <c r="E94" s="3">
        <v>1569</v>
      </c>
      <c r="F94" s="3">
        <v>1489</v>
      </c>
      <c r="G94" s="3">
        <v>1328</v>
      </c>
      <c r="H94" s="3">
        <v>1532</v>
      </c>
      <c r="I94" s="3">
        <v>1245</v>
      </c>
      <c r="J94" s="3">
        <v>1434</v>
      </c>
      <c r="K94" s="3">
        <v>1595</v>
      </c>
      <c r="L94" s="3">
        <v>1476</v>
      </c>
    </row>
    <row r="95" spans="2:12" x14ac:dyDescent="0.3">
      <c r="B95" t="s">
        <v>94</v>
      </c>
      <c r="C95" s="3">
        <v>-1518</v>
      </c>
      <c r="D95" s="3">
        <v>-2961</v>
      </c>
      <c r="E95" s="3">
        <v>-4513</v>
      </c>
      <c r="F95" s="3">
        <v>-4559</v>
      </c>
      <c r="G95" s="3">
        <v>-4832</v>
      </c>
      <c r="H95" s="3">
        <v>-4162</v>
      </c>
      <c r="I95" s="3">
        <v>-3564</v>
      </c>
      <c r="J95" s="3">
        <v>-3681</v>
      </c>
      <c r="K95" s="3">
        <v>-3682</v>
      </c>
      <c r="L95" s="3">
        <v>-1912</v>
      </c>
    </row>
    <row r="96" spans="2:12" x14ac:dyDescent="0.3">
      <c r="B96" t="s">
        <v>95</v>
      </c>
      <c r="C96" s="3">
        <v>-3800</v>
      </c>
      <c r="D96" s="3">
        <v>-4068</v>
      </c>
      <c r="E96" s="3">
        <v>-4300</v>
      </c>
      <c r="F96" s="3">
        <v>-4595</v>
      </c>
      <c r="G96" s="3">
        <v>-4969</v>
      </c>
      <c r="H96" s="3">
        <v>-5350</v>
      </c>
      <c r="I96" s="3">
        <v>-5741</v>
      </c>
      <c r="J96" s="3">
        <v>-6043</v>
      </c>
      <c r="K96" s="3">
        <v>-6320</v>
      </c>
      <c r="L96" s="3">
        <v>-6644</v>
      </c>
    </row>
    <row r="97" spans="2:12" x14ac:dyDescent="0.3">
      <c r="B97" t="s">
        <v>96</v>
      </c>
      <c r="C97" s="3">
        <v>-2</v>
      </c>
      <c r="D97" s="3">
        <v>50</v>
      </c>
      <c r="E97" s="3">
        <v>45</v>
      </c>
      <c r="F97" s="3">
        <v>100</v>
      </c>
      <c r="G97" s="3">
        <v>17</v>
      </c>
      <c r="H97" s="3">
        <v>-363</v>
      </c>
      <c r="I97" s="3">
        <v>251</v>
      </c>
      <c r="J97" s="3">
        <v>79</v>
      </c>
      <c r="K97" s="3">
        <v>-91</v>
      </c>
      <c r="L97" s="3">
        <v>-243</v>
      </c>
    </row>
    <row r="98" spans="2:12" x14ac:dyDescent="0.3">
      <c r="B98" s="4" t="s">
        <v>97</v>
      </c>
      <c r="C98" s="5">
        <v>-2293</v>
      </c>
      <c r="D98" s="5">
        <v>-3465</v>
      </c>
      <c r="E98" s="5">
        <v>-2234</v>
      </c>
      <c r="F98" s="5">
        <v>-3347</v>
      </c>
      <c r="G98" s="5">
        <v>-3745</v>
      </c>
      <c r="H98" s="5">
        <v>-3631</v>
      </c>
      <c r="I98" s="5">
        <v>-5113</v>
      </c>
      <c r="J98" s="5">
        <v>-6545</v>
      </c>
      <c r="K98" s="5">
        <v>-7409</v>
      </c>
      <c r="L98" s="5">
        <v>-10552</v>
      </c>
    </row>
    <row r="99" spans="2:12" x14ac:dyDescent="0.3">
      <c r="B99" t="s">
        <v>98</v>
      </c>
      <c r="I99" s="3">
        <v>0</v>
      </c>
      <c r="J99" s="3">
        <v>0</v>
      </c>
      <c r="K99" s="3">
        <v>111</v>
      </c>
      <c r="L99" s="3">
        <v>307</v>
      </c>
    </row>
    <row r="100" spans="2:12" x14ac:dyDescent="0.3">
      <c r="B100" t="s">
        <v>99</v>
      </c>
      <c r="C100" s="3">
        <v>576</v>
      </c>
      <c r="D100" s="3">
        <v>-166</v>
      </c>
      <c r="E100" s="3">
        <v>-430</v>
      </c>
      <c r="F100" s="3">
        <v>-255</v>
      </c>
      <c r="G100" s="3">
        <v>-611</v>
      </c>
      <c r="H100" s="3">
        <v>-934</v>
      </c>
      <c r="I100" s="3">
        <v>-878</v>
      </c>
      <c r="J100" s="3">
        <v>-6</v>
      </c>
      <c r="K100" s="3">
        <v>241</v>
      </c>
      <c r="L100" s="3">
        <v>-262</v>
      </c>
    </row>
    <row r="101" spans="2:12" x14ac:dyDescent="0.3">
      <c r="B101" t="s">
        <v>100</v>
      </c>
      <c r="I101" s="3">
        <v>0</v>
      </c>
      <c r="J101" s="3">
        <v>0</v>
      </c>
      <c r="K101" s="3">
        <v>-58</v>
      </c>
      <c r="L101" s="3">
        <v>-421</v>
      </c>
    </row>
    <row r="102" spans="2:12" x14ac:dyDescent="0.3">
      <c r="B102" t="s">
        <v>101</v>
      </c>
      <c r="I102" s="3">
        <v>0</v>
      </c>
      <c r="J102" s="3">
        <v>0</v>
      </c>
      <c r="K102" s="3">
        <v>-38</v>
      </c>
      <c r="L102" s="3">
        <v>205</v>
      </c>
    </row>
    <row r="103" spans="2:12" x14ac:dyDescent="0.3">
      <c r="B103" t="s">
        <v>102</v>
      </c>
      <c r="I103" s="3">
        <v>0</v>
      </c>
      <c r="J103" s="3">
        <v>0</v>
      </c>
      <c r="K103" s="3">
        <v>15</v>
      </c>
      <c r="L103" s="3">
        <v>91</v>
      </c>
    </row>
    <row r="104" spans="2:12" x14ac:dyDescent="0.3">
      <c r="B104" s="4" t="s">
        <v>103</v>
      </c>
      <c r="C104" s="5">
        <v>2320</v>
      </c>
      <c r="D104" s="5">
        <v>1496</v>
      </c>
      <c r="E104" s="5">
        <v>4286</v>
      </c>
      <c r="F104" s="5">
        <v>-4361</v>
      </c>
      <c r="G104" s="5">
        <v>1972</v>
      </c>
      <c r="H104" s="5">
        <v>-1456</v>
      </c>
      <c r="I104" s="5">
        <v>-1649</v>
      </c>
      <c r="J104" s="5">
        <v>1246</v>
      </c>
      <c r="K104" s="5">
        <v>-2477</v>
      </c>
      <c r="L104" s="5">
        <v>2945</v>
      </c>
    </row>
  </sheetData>
  <sheetProtection sheet="1" formatCells="0" formatColumns="0" formatRows="0" insertColumns="0" insertRows="0" insertHyperlinks="0" deleteColumns="0" deleteRows="0" sort="0" autoFilter="0" pivotTables="0"/>
  <hyperlinks>
    <hyperlink ref="A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EF8F2-8669-46A1-80E2-3BC989F74526}">
  <dimension ref="C5:M6"/>
  <sheetViews>
    <sheetView zoomScale="66" workbookViewId="0">
      <selection activeCell="C5" activeCellId="1" sqref="C6:M6 C5:M5"/>
    </sheetView>
  </sheetViews>
  <sheetFormatPr defaultRowHeight="14.4" x14ac:dyDescent="0.3"/>
  <cols>
    <col min="3" max="3" width="43.5546875" bestFit="1" customWidth="1"/>
    <col min="4" max="6" width="13.6640625" bestFit="1" customWidth="1"/>
    <col min="7" max="7" width="14.5546875" bestFit="1" customWidth="1"/>
    <col min="8" max="8" width="13.6640625" bestFit="1" customWidth="1"/>
    <col min="9" max="10" width="14.5546875" bestFit="1" customWidth="1"/>
    <col min="11" max="11" width="13.6640625" bestFit="1" customWidth="1"/>
    <col min="12" max="12" width="14.5546875" bestFit="1" customWidth="1"/>
    <col min="13" max="13" width="13.6640625" bestFit="1" customWidth="1"/>
  </cols>
  <sheetData>
    <row r="5" spans="3:13" ht="18.600000000000001" thickBot="1" x14ac:dyDescent="0.4">
      <c r="C5" s="7" t="s">
        <v>104</v>
      </c>
      <c r="D5" s="8" t="s">
        <v>3</v>
      </c>
      <c r="E5" s="9" t="s">
        <v>4</v>
      </c>
      <c r="F5" s="9" t="s">
        <v>5</v>
      </c>
      <c r="G5" s="9" t="s">
        <v>6</v>
      </c>
      <c r="H5" s="9" t="s">
        <v>7</v>
      </c>
      <c r="I5" s="9" t="s">
        <v>8</v>
      </c>
      <c r="J5" s="9" t="s">
        <v>9</v>
      </c>
      <c r="K5" s="9" t="s">
        <v>10</v>
      </c>
      <c r="L5" s="9" t="s">
        <v>11</v>
      </c>
      <c r="M5" s="9" t="s">
        <v>12</v>
      </c>
    </row>
    <row r="6" spans="3:13" ht="18" x14ac:dyDescent="0.35">
      <c r="C6" s="6" t="s">
        <v>103</v>
      </c>
      <c r="D6" s="10">
        <v>2320</v>
      </c>
      <c r="E6" s="10">
        <v>1496</v>
      </c>
      <c r="F6" s="10">
        <v>4286</v>
      </c>
      <c r="G6" s="10">
        <v>-4361</v>
      </c>
      <c r="H6" s="10">
        <v>1972</v>
      </c>
      <c r="I6" s="10">
        <v>-1456</v>
      </c>
      <c r="J6" s="10">
        <v>-1649</v>
      </c>
      <c r="K6" s="10">
        <v>1246</v>
      </c>
      <c r="L6" s="10">
        <v>-2477</v>
      </c>
      <c r="M6" s="10">
        <v>2945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8D7AA-DC09-4256-973A-3DB9EFFA346B}">
  <dimension ref="A1:E4"/>
  <sheetViews>
    <sheetView workbookViewId="0">
      <selection activeCell="E4" sqref="E4"/>
    </sheetView>
  </sheetViews>
  <sheetFormatPr defaultRowHeight="14.4" x14ac:dyDescent="0.3"/>
  <cols>
    <col min="1" max="1" width="16.77734375" bestFit="1" customWidth="1"/>
    <col min="2" max="2" width="16.88671875" bestFit="1" customWidth="1"/>
    <col min="3" max="3" width="25.6640625" bestFit="1" customWidth="1"/>
    <col min="4" max="4" width="16.88671875" bestFit="1" customWidth="1"/>
    <col min="5" max="5" width="22" bestFit="1" customWidth="1"/>
    <col min="6" max="10" width="15" bestFit="1" customWidth="1"/>
    <col min="11" max="11" width="10.5546875" bestFit="1" customWidth="1"/>
    <col min="12" max="12" width="10.44140625" bestFit="1" customWidth="1"/>
    <col min="13" max="13" width="11.109375" bestFit="1" customWidth="1"/>
    <col min="14" max="14" width="10.44140625" bestFit="1" customWidth="1"/>
    <col min="15" max="15" width="11.109375" bestFit="1" customWidth="1"/>
    <col min="16" max="16" width="10.44140625" bestFit="1" customWidth="1"/>
    <col min="17" max="17" width="11.109375" bestFit="1" customWidth="1"/>
    <col min="18" max="18" width="10.44140625" bestFit="1" customWidth="1"/>
    <col min="19" max="19" width="11.109375" bestFit="1" customWidth="1"/>
    <col min="20" max="20" width="10.44140625" bestFit="1" customWidth="1"/>
    <col min="21" max="21" width="10.5546875" bestFit="1" customWidth="1"/>
  </cols>
  <sheetData>
    <row r="1" spans="1:5" x14ac:dyDescent="0.3">
      <c r="A1" s="40" t="s">
        <v>104</v>
      </c>
      <c r="B1" s="34" t="s">
        <v>115</v>
      </c>
    </row>
    <row r="3" spans="1:5" x14ac:dyDescent="0.3">
      <c r="A3" s="32" t="s">
        <v>107</v>
      </c>
      <c r="B3" s="35" t="s">
        <v>108</v>
      </c>
      <c r="C3" s="35" t="s">
        <v>111</v>
      </c>
      <c r="D3" s="35" t="s">
        <v>110</v>
      </c>
      <c r="E3" s="46" t="s">
        <v>109</v>
      </c>
    </row>
    <row r="4" spans="1:5" x14ac:dyDescent="0.3">
      <c r="A4" s="37">
        <v>156262</v>
      </c>
      <c r="B4" s="38">
        <v>512865</v>
      </c>
      <c r="C4" s="38">
        <v>157099</v>
      </c>
      <c r="D4" s="38">
        <v>171980</v>
      </c>
      <c r="E4" s="47">
        <v>54849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56AC-82B1-4DE9-8261-A8B0192E955C}">
  <dimension ref="A1:C4"/>
  <sheetViews>
    <sheetView workbookViewId="0">
      <selection activeCell="H6" sqref="H6"/>
    </sheetView>
  </sheetViews>
  <sheetFormatPr defaultRowHeight="14.4" x14ac:dyDescent="0.3"/>
  <cols>
    <col min="1" max="1" width="16.88671875" bestFit="1" customWidth="1"/>
    <col min="2" max="2" width="25.6640625" bestFit="1" customWidth="1"/>
    <col min="3" max="4" width="16.88671875" bestFit="1" customWidth="1"/>
  </cols>
  <sheetData>
    <row r="1" spans="1:3" x14ac:dyDescent="0.3">
      <c r="A1" s="40" t="s">
        <v>104</v>
      </c>
      <c r="B1" s="34" t="s">
        <v>115</v>
      </c>
    </row>
    <row r="3" spans="1:3" x14ac:dyDescent="0.3">
      <c r="A3" s="32" t="s">
        <v>108</v>
      </c>
      <c r="B3" s="35" t="s">
        <v>111</v>
      </c>
      <c r="C3" s="46" t="s">
        <v>110</v>
      </c>
    </row>
    <row r="4" spans="1:3" x14ac:dyDescent="0.3">
      <c r="A4" s="48">
        <v>512865</v>
      </c>
      <c r="B4" s="49">
        <v>157099</v>
      </c>
      <c r="C4" s="50">
        <v>171980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2CC83-1E39-43B9-96F3-8AE613733B03}">
  <dimension ref="W20"/>
  <sheetViews>
    <sheetView showGridLines="0" zoomScale="82" workbookViewId="0">
      <selection activeCell="V22" sqref="V22"/>
    </sheetView>
  </sheetViews>
  <sheetFormatPr defaultRowHeight="14.4" x14ac:dyDescent="0.3"/>
  <sheetData>
    <row r="20" spans="23:23" x14ac:dyDescent="0.3">
      <c r="W20" s="54"/>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4999-5BE4-4E9E-839E-689A21E1C4AD}">
  <dimension ref="A3:B10"/>
  <sheetViews>
    <sheetView topLeftCell="A2" workbookViewId="0">
      <selection activeCell="A3" sqref="A3"/>
    </sheetView>
  </sheetViews>
  <sheetFormatPr defaultRowHeight="14.4" x14ac:dyDescent="0.3"/>
  <cols>
    <col min="1" max="1" width="12.44140625" bestFit="1" customWidth="1"/>
    <col min="2" max="2" width="39.5546875" bestFit="1" customWidth="1"/>
  </cols>
  <sheetData>
    <row r="3" spans="1:2" x14ac:dyDescent="0.3">
      <c r="A3" s="33" t="s">
        <v>106</v>
      </c>
      <c r="B3" s="36" t="s">
        <v>114</v>
      </c>
    </row>
    <row r="4" spans="1:2" x14ac:dyDescent="0.3">
      <c r="A4" s="41" t="s">
        <v>4</v>
      </c>
      <c r="B4" s="42">
        <v>1496</v>
      </c>
    </row>
    <row r="5" spans="1:2" x14ac:dyDescent="0.3">
      <c r="A5" s="43" t="s">
        <v>5</v>
      </c>
      <c r="B5" s="44">
        <v>4286</v>
      </c>
    </row>
    <row r="6" spans="1:2" x14ac:dyDescent="0.3">
      <c r="A6" s="43" t="s">
        <v>7</v>
      </c>
      <c r="B6" s="44">
        <v>1972</v>
      </c>
    </row>
    <row r="7" spans="1:2" x14ac:dyDescent="0.3">
      <c r="A7" s="43" t="s">
        <v>8</v>
      </c>
      <c r="B7" s="44">
        <v>-1456</v>
      </c>
    </row>
    <row r="8" spans="1:2" x14ac:dyDescent="0.3">
      <c r="A8" s="43" t="s">
        <v>9</v>
      </c>
      <c r="B8" s="44">
        <v>-1649</v>
      </c>
    </row>
    <row r="9" spans="1:2" x14ac:dyDescent="0.3">
      <c r="A9" s="43" t="s">
        <v>11</v>
      </c>
      <c r="B9" s="44">
        <v>-2477</v>
      </c>
    </row>
    <row r="10" spans="1:2" x14ac:dyDescent="0.3">
      <c r="A10" s="45" t="s">
        <v>105</v>
      </c>
      <c r="B10" s="39">
        <v>2172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0D78D-2B36-48E4-B324-470F1473B616}">
  <dimension ref="A1:AH17"/>
  <sheetViews>
    <sheetView showGridLines="0" topLeftCell="AD1" zoomScale="78" workbookViewId="0">
      <selection activeCell="AH10" sqref="AH10"/>
    </sheetView>
  </sheetViews>
  <sheetFormatPr defaultRowHeight="14.4" x14ac:dyDescent="0.3"/>
  <cols>
    <col min="1" max="1" width="107.77734375" bestFit="1" customWidth="1"/>
    <col min="2" max="2" width="18.109375" bestFit="1" customWidth="1"/>
    <col min="3" max="9" width="18.33203125" bestFit="1" customWidth="1"/>
    <col min="10" max="10" width="18.109375" bestFit="1" customWidth="1"/>
    <col min="11" max="11" width="18.33203125" bestFit="1" customWidth="1"/>
    <col min="12" max="13" width="15.33203125" bestFit="1" customWidth="1"/>
    <col min="14" max="14" width="15.44140625" bestFit="1" customWidth="1"/>
    <col min="15" max="16" width="15.33203125" bestFit="1" customWidth="1"/>
    <col min="17" max="17" width="22.109375" bestFit="1" customWidth="1"/>
    <col min="18" max="18" width="18.109375" bestFit="1" customWidth="1"/>
    <col min="19" max="19" width="35.6640625" bestFit="1" customWidth="1"/>
    <col min="20" max="20" width="39.33203125" bestFit="1" customWidth="1"/>
    <col min="21" max="21" width="102.33203125" bestFit="1" customWidth="1"/>
    <col min="22" max="22" width="69" bestFit="1" customWidth="1"/>
    <col min="23" max="23" width="26.77734375" bestFit="1" customWidth="1"/>
    <col min="24" max="24" width="17.88671875" bestFit="1" customWidth="1"/>
    <col min="25" max="25" width="30.44140625" bestFit="1" customWidth="1"/>
    <col min="26" max="26" width="95.88671875" bestFit="1" customWidth="1"/>
    <col min="27" max="27" width="26.5546875" customWidth="1"/>
    <col min="28" max="28" width="26.77734375" customWidth="1"/>
    <col min="29" max="29" width="67.44140625" customWidth="1"/>
    <col min="30" max="30" width="49.44140625" customWidth="1"/>
    <col min="31" max="31" width="46.21875" customWidth="1"/>
    <col min="32" max="32" width="37.21875" customWidth="1"/>
    <col min="33" max="33" width="21.6640625" customWidth="1"/>
    <col min="34" max="34" width="63" customWidth="1"/>
    <col min="35" max="35" width="12.88671875" customWidth="1"/>
    <col min="36" max="36" width="24.44140625" customWidth="1"/>
    <col min="37" max="37" width="36.6640625" customWidth="1"/>
    <col min="38" max="39" width="44" customWidth="1"/>
    <col min="40" max="40" width="35.5546875" customWidth="1"/>
  </cols>
  <sheetData>
    <row r="1" spans="1:34" ht="15.6" x14ac:dyDescent="0.3">
      <c r="A1" s="11" t="s">
        <v>104</v>
      </c>
      <c r="B1" s="12" t="s">
        <v>3</v>
      </c>
      <c r="C1" s="12" t="s">
        <v>4</v>
      </c>
      <c r="D1" s="12" t="s">
        <v>5</v>
      </c>
      <c r="E1" s="12" t="s">
        <v>6</v>
      </c>
      <c r="F1" s="12" t="s">
        <v>7</v>
      </c>
      <c r="G1" s="12" t="s">
        <v>8</v>
      </c>
      <c r="H1" s="12" t="s">
        <v>9</v>
      </c>
      <c r="I1" s="12" t="s">
        <v>10</v>
      </c>
      <c r="J1" s="12" t="s">
        <v>11</v>
      </c>
      <c r="K1" s="13" t="s">
        <v>12</v>
      </c>
      <c r="P1" s="30" t="s">
        <v>104</v>
      </c>
      <c r="Q1" s="30" t="s">
        <v>18</v>
      </c>
      <c r="R1" s="30" t="s">
        <v>15</v>
      </c>
      <c r="S1" s="30" t="s">
        <v>25</v>
      </c>
      <c r="T1" s="30" t="s">
        <v>29</v>
      </c>
      <c r="U1" s="30" t="s">
        <v>34</v>
      </c>
      <c r="V1" s="30" t="s">
        <v>40</v>
      </c>
      <c r="W1" s="30" t="s">
        <v>50</v>
      </c>
      <c r="X1" s="30" t="s">
        <v>58</v>
      </c>
      <c r="Y1" s="30" t="s">
        <v>67</v>
      </c>
      <c r="Z1" s="30" t="s">
        <v>69</v>
      </c>
      <c r="AA1" s="30" t="s">
        <v>70</v>
      </c>
      <c r="AB1" s="30" t="s">
        <v>81</v>
      </c>
      <c r="AC1" s="30" t="s">
        <v>90</v>
      </c>
      <c r="AD1" s="30" t="s">
        <v>97</v>
      </c>
      <c r="AE1" s="30" t="s">
        <v>103</v>
      </c>
      <c r="AF1" s="31" t="s">
        <v>112</v>
      </c>
      <c r="AG1" s="31" t="s">
        <v>23</v>
      </c>
      <c r="AH1" s="31" t="s">
        <v>113</v>
      </c>
    </row>
    <row r="2" spans="1:34" x14ac:dyDescent="0.3">
      <c r="A2" s="14" t="s">
        <v>18</v>
      </c>
      <c r="B2" s="16">
        <v>8231</v>
      </c>
      <c r="C2" s="16">
        <v>8413</v>
      </c>
      <c r="D2" s="16">
        <v>10173</v>
      </c>
      <c r="E2" s="16">
        <v>10779</v>
      </c>
      <c r="F2" s="16">
        <v>10228</v>
      </c>
      <c r="G2" s="16">
        <v>9708</v>
      </c>
      <c r="H2" s="16">
        <v>8728</v>
      </c>
      <c r="I2" s="16">
        <v>8626</v>
      </c>
      <c r="J2" s="16">
        <v>7599</v>
      </c>
      <c r="K2" s="17">
        <v>8700</v>
      </c>
      <c r="P2" s="24" t="s">
        <v>3</v>
      </c>
      <c r="Q2" s="20">
        <v>8231</v>
      </c>
      <c r="R2" s="20">
        <v>19902</v>
      </c>
      <c r="S2" s="20">
        <v>6906</v>
      </c>
      <c r="T2" s="20">
        <v>6824</v>
      </c>
      <c r="U2" s="20">
        <v>9151</v>
      </c>
      <c r="V2" s="20">
        <v>17551</v>
      </c>
      <c r="W2" s="20">
        <v>48671</v>
      </c>
      <c r="X2" s="20">
        <v>13721</v>
      </c>
      <c r="Y2" s="20">
        <v>24799</v>
      </c>
      <c r="Z2" s="20">
        <v>25346</v>
      </c>
      <c r="AA2" s="23">
        <v>48671</v>
      </c>
      <c r="AB2" s="23">
        <v>8186</v>
      </c>
      <c r="AC2" s="23">
        <v>-4149</v>
      </c>
      <c r="AD2" s="23">
        <v>-2293</v>
      </c>
      <c r="AE2" s="25">
        <v>2320</v>
      </c>
      <c r="AF2" s="52">
        <v>2320</v>
      </c>
      <c r="AG2" s="52">
        <v>8946</v>
      </c>
      <c r="AH2" s="52">
        <v>6906</v>
      </c>
    </row>
    <row r="3" spans="1:34" x14ac:dyDescent="0.3">
      <c r="A3" s="14" t="s">
        <v>15</v>
      </c>
      <c r="B3" s="16">
        <v>19902</v>
      </c>
      <c r="C3" s="16">
        <v>22426</v>
      </c>
      <c r="D3" s="16">
        <v>28327</v>
      </c>
      <c r="E3" s="16">
        <v>28964</v>
      </c>
      <c r="F3" s="16">
        <v>28433</v>
      </c>
      <c r="G3" s="16">
        <v>28109</v>
      </c>
      <c r="H3" s="16">
        <v>26812</v>
      </c>
      <c r="I3" s="16">
        <v>25398</v>
      </c>
      <c r="J3" s="16">
        <v>22155</v>
      </c>
      <c r="K3" s="17">
        <v>20086</v>
      </c>
      <c r="P3" s="24" t="s">
        <v>4</v>
      </c>
      <c r="Q3" s="20">
        <v>8413</v>
      </c>
      <c r="R3" s="20">
        <v>22426</v>
      </c>
      <c r="S3" s="20">
        <v>11837</v>
      </c>
      <c r="T3" s="20">
        <v>11787</v>
      </c>
      <c r="U3" s="20">
        <v>11199</v>
      </c>
      <c r="V3" s="20">
        <v>21579</v>
      </c>
      <c r="W3" s="20">
        <v>72921</v>
      </c>
      <c r="X3" s="20">
        <v>18508</v>
      </c>
      <c r="Y3" s="20">
        <v>31003</v>
      </c>
      <c r="Z3" s="20">
        <v>31317</v>
      </c>
      <c r="AA3" s="23">
        <v>72921</v>
      </c>
      <c r="AB3" s="23">
        <v>9532</v>
      </c>
      <c r="AC3" s="23">
        <v>-4405</v>
      </c>
      <c r="AD3" s="23">
        <v>-3465</v>
      </c>
      <c r="AE3" s="25">
        <v>1496</v>
      </c>
      <c r="AF3" s="51">
        <v>1496</v>
      </c>
      <c r="AG3" s="51">
        <v>14207</v>
      </c>
      <c r="AH3" s="51">
        <v>11837</v>
      </c>
    </row>
    <row r="4" spans="1:34" x14ac:dyDescent="0.3">
      <c r="A4" s="14" t="s">
        <v>23</v>
      </c>
      <c r="B4" s="16">
        <v>8946</v>
      </c>
      <c r="C4" s="16">
        <v>14207</v>
      </c>
      <c r="D4" s="16">
        <v>11458</v>
      </c>
      <c r="E4" s="16">
        <v>11809</v>
      </c>
      <c r="F4" s="16">
        <v>11477</v>
      </c>
      <c r="G4" s="16">
        <v>9325</v>
      </c>
      <c r="H4" s="16">
        <v>9605</v>
      </c>
      <c r="I4" s="16">
        <v>8136</v>
      </c>
      <c r="J4" s="16">
        <v>6742</v>
      </c>
      <c r="K4" s="17">
        <v>8350</v>
      </c>
      <c r="P4" s="24" t="s">
        <v>5</v>
      </c>
      <c r="Q4" s="20">
        <v>10173</v>
      </c>
      <c r="R4" s="20">
        <v>28327</v>
      </c>
      <c r="S4" s="20">
        <v>8646</v>
      </c>
      <c r="T4" s="20">
        <v>8584</v>
      </c>
      <c r="U4" s="20">
        <v>13891</v>
      </c>
      <c r="V4" s="20">
        <v>25497</v>
      </c>
      <c r="W4" s="20">
        <v>79974</v>
      </c>
      <c r="X4" s="20">
        <v>24283</v>
      </c>
      <c r="Y4" s="20">
        <v>31635</v>
      </c>
      <c r="Z4" s="20">
        <v>31921</v>
      </c>
      <c r="AA4" s="23">
        <v>79974</v>
      </c>
      <c r="AB4" s="23">
        <v>9474</v>
      </c>
      <c r="AC4" s="23">
        <v>-2524</v>
      </c>
      <c r="AD4" s="23">
        <v>-2234</v>
      </c>
      <c r="AE4" s="25">
        <v>4286</v>
      </c>
      <c r="AF4" s="51">
        <v>4286</v>
      </c>
      <c r="AG4" s="51">
        <v>11458</v>
      </c>
      <c r="AH4" s="51">
        <v>8646</v>
      </c>
    </row>
    <row r="5" spans="1:34" x14ac:dyDescent="0.3">
      <c r="A5" s="14" t="s">
        <v>25</v>
      </c>
      <c r="B5" s="16">
        <v>6906</v>
      </c>
      <c r="C5" s="16">
        <v>11837</v>
      </c>
      <c r="D5" s="16">
        <v>8646</v>
      </c>
      <c r="E5" s="16">
        <v>9086</v>
      </c>
      <c r="F5" s="16">
        <v>8626</v>
      </c>
      <c r="G5" s="16">
        <v>7124</v>
      </c>
      <c r="H5" s="16">
        <v>7366</v>
      </c>
      <c r="I5" s="16">
        <v>6550</v>
      </c>
      <c r="J5" s="16">
        <v>1283</v>
      </c>
      <c r="K5" s="17">
        <v>6476</v>
      </c>
      <c r="P5" s="24" t="s">
        <v>6</v>
      </c>
      <c r="Q5" s="20">
        <v>10779</v>
      </c>
      <c r="R5" s="20">
        <v>28964</v>
      </c>
      <c r="S5" s="20">
        <v>9086</v>
      </c>
      <c r="T5" s="20">
        <v>9019</v>
      </c>
      <c r="U5" s="20">
        <v>13459</v>
      </c>
      <c r="V5" s="20">
        <v>30328</v>
      </c>
      <c r="W5" s="20">
        <v>86174</v>
      </c>
      <c r="X5" s="20">
        <v>27821</v>
      </c>
      <c r="Y5" s="20">
        <v>32790</v>
      </c>
      <c r="Z5" s="20">
        <v>33168</v>
      </c>
      <c r="AA5" s="23">
        <v>86174</v>
      </c>
      <c r="AB5" s="23">
        <v>10645</v>
      </c>
      <c r="AC5" s="23">
        <v>-11404</v>
      </c>
      <c r="AD5" s="23">
        <v>-3347</v>
      </c>
      <c r="AE5" s="25">
        <v>-4361</v>
      </c>
      <c r="AF5" s="51">
        <v>-4361</v>
      </c>
      <c r="AG5" s="51">
        <v>11809</v>
      </c>
      <c r="AH5" s="51">
        <v>9086</v>
      </c>
    </row>
    <row r="6" spans="1:34" x14ac:dyDescent="0.3">
      <c r="A6" s="14" t="s">
        <v>29</v>
      </c>
      <c r="B6" s="16">
        <v>6824</v>
      </c>
      <c r="C6" s="16">
        <v>11787</v>
      </c>
      <c r="D6" s="16">
        <v>8584</v>
      </c>
      <c r="E6" s="16">
        <v>9019</v>
      </c>
      <c r="F6" s="16">
        <v>8584</v>
      </c>
      <c r="G6" s="16">
        <v>7098</v>
      </c>
      <c r="H6" s="16">
        <v>7351</v>
      </c>
      <c r="I6" s="16">
        <v>6527</v>
      </c>
      <c r="J6" s="16">
        <v>1248</v>
      </c>
      <c r="K6" s="17">
        <v>6434</v>
      </c>
      <c r="P6" s="24" t="s">
        <v>7</v>
      </c>
      <c r="Q6" s="20">
        <v>10228</v>
      </c>
      <c r="R6" s="20">
        <v>28433</v>
      </c>
      <c r="S6" s="20">
        <v>8626</v>
      </c>
      <c r="T6" s="20">
        <v>8584</v>
      </c>
      <c r="U6" s="20">
        <v>17121</v>
      </c>
      <c r="V6" s="20">
        <v>31304</v>
      </c>
      <c r="W6" s="20">
        <v>90055</v>
      </c>
      <c r="X6" s="20">
        <v>27811</v>
      </c>
      <c r="Y6" s="20">
        <v>33173</v>
      </c>
      <c r="Z6" s="20">
        <v>33440</v>
      </c>
      <c r="AA6" s="23">
        <v>90055</v>
      </c>
      <c r="AB6" s="23">
        <v>10542</v>
      </c>
      <c r="AC6" s="23">
        <v>-4214</v>
      </c>
      <c r="AD6" s="23">
        <v>-3745</v>
      </c>
      <c r="AE6" s="25">
        <v>1972</v>
      </c>
      <c r="AF6" s="51">
        <v>1972</v>
      </c>
      <c r="AG6" s="51">
        <v>11477</v>
      </c>
      <c r="AH6" s="51">
        <v>8626</v>
      </c>
    </row>
    <row r="7" spans="1:34" x14ac:dyDescent="0.3">
      <c r="A7" s="14" t="s">
        <v>34</v>
      </c>
      <c r="B7" s="16">
        <v>9151</v>
      </c>
      <c r="C7" s="16">
        <v>11199</v>
      </c>
      <c r="D7" s="16">
        <v>13891</v>
      </c>
      <c r="E7" s="16">
        <v>13459</v>
      </c>
      <c r="F7" s="16">
        <v>17121</v>
      </c>
      <c r="G7" s="16">
        <v>18010</v>
      </c>
      <c r="H7" s="16">
        <v>15631</v>
      </c>
      <c r="I7" s="16">
        <v>18150</v>
      </c>
      <c r="J7" s="16">
        <v>15358</v>
      </c>
      <c r="K7" s="17">
        <v>10951</v>
      </c>
      <c r="P7" s="24" t="s">
        <v>8</v>
      </c>
      <c r="Q7" s="20">
        <v>9708</v>
      </c>
      <c r="R7" s="20">
        <v>28109</v>
      </c>
      <c r="S7" s="20">
        <v>7124</v>
      </c>
      <c r="T7" s="20">
        <v>7098</v>
      </c>
      <c r="U7" s="20">
        <v>18010</v>
      </c>
      <c r="V7" s="20">
        <v>32986</v>
      </c>
      <c r="W7" s="20">
        <v>92023</v>
      </c>
      <c r="X7" s="20">
        <v>32374</v>
      </c>
      <c r="Y7" s="20">
        <v>30320</v>
      </c>
      <c r="Z7" s="20">
        <v>30561</v>
      </c>
      <c r="AA7" s="23">
        <v>92023</v>
      </c>
      <c r="AB7" s="23">
        <v>10615</v>
      </c>
      <c r="AC7" s="23">
        <v>-7506</v>
      </c>
      <c r="AD7" s="23">
        <v>-3631</v>
      </c>
      <c r="AE7" s="25">
        <v>-1456</v>
      </c>
      <c r="AF7" s="51">
        <v>-1456</v>
      </c>
      <c r="AG7" s="51">
        <v>9325</v>
      </c>
      <c r="AH7" s="51">
        <v>7124</v>
      </c>
    </row>
    <row r="8" spans="1:34" x14ac:dyDescent="0.3">
      <c r="A8" s="14" t="s">
        <v>40</v>
      </c>
      <c r="B8" s="16">
        <v>17551</v>
      </c>
      <c r="C8" s="16">
        <v>21579</v>
      </c>
      <c r="D8" s="16">
        <v>25497</v>
      </c>
      <c r="E8" s="16">
        <v>30328</v>
      </c>
      <c r="F8" s="16">
        <v>31304</v>
      </c>
      <c r="G8" s="16">
        <v>32986</v>
      </c>
      <c r="H8" s="16">
        <v>33395</v>
      </c>
      <c r="I8" s="16">
        <v>34010</v>
      </c>
      <c r="J8" s="16">
        <v>36545</v>
      </c>
      <c r="K8" s="17">
        <v>30634</v>
      </c>
      <c r="P8" s="24" t="s">
        <v>9</v>
      </c>
      <c r="Q8" s="20">
        <v>8728</v>
      </c>
      <c r="R8" s="20">
        <v>26812</v>
      </c>
      <c r="S8" s="20">
        <v>7366</v>
      </c>
      <c r="T8" s="20">
        <v>7351</v>
      </c>
      <c r="U8" s="20">
        <v>15631</v>
      </c>
      <c r="V8" s="20">
        <v>33395</v>
      </c>
      <c r="W8" s="20">
        <v>89996</v>
      </c>
      <c r="X8" s="20">
        <v>26929</v>
      </c>
      <c r="Y8" s="20">
        <v>25554</v>
      </c>
      <c r="Z8" s="20">
        <v>25764</v>
      </c>
      <c r="AA8" s="23">
        <v>89996</v>
      </c>
      <c r="AB8" s="23">
        <v>10528</v>
      </c>
      <c r="AC8" s="23">
        <v>-6186</v>
      </c>
      <c r="AD8" s="23">
        <v>-5113</v>
      </c>
      <c r="AE8" s="25">
        <v>-1649</v>
      </c>
      <c r="AF8" s="51">
        <v>-1649</v>
      </c>
      <c r="AG8" s="51">
        <v>9605</v>
      </c>
      <c r="AH8" s="51">
        <v>7366</v>
      </c>
    </row>
    <row r="9" spans="1:34" x14ac:dyDescent="0.3">
      <c r="A9" s="14" t="s">
        <v>50</v>
      </c>
      <c r="B9" s="16">
        <v>48671</v>
      </c>
      <c r="C9" s="16">
        <v>72921</v>
      </c>
      <c r="D9" s="16">
        <v>79974</v>
      </c>
      <c r="E9" s="16">
        <v>86174</v>
      </c>
      <c r="F9" s="16">
        <v>90055</v>
      </c>
      <c r="G9" s="16">
        <v>92023</v>
      </c>
      <c r="H9" s="16">
        <v>89996</v>
      </c>
      <c r="I9" s="16">
        <v>87270</v>
      </c>
      <c r="J9" s="16">
        <v>87896</v>
      </c>
      <c r="K9" s="17">
        <v>83216</v>
      </c>
      <c r="P9" s="24" t="s">
        <v>10</v>
      </c>
      <c r="Q9" s="20">
        <v>8626</v>
      </c>
      <c r="R9" s="20">
        <v>25398</v>
      </c>
      <c r="S9" s="20">
        <v>6550</v>
      </c>
      <c r="T9" s="20">
        <v>6527</v>
      </c>
      <c r="U9" s="20">
        <v>18150</v>
      </c>
      <c r="V9" s="20">
        <v>34010</v>
      </c>
      <c r="W9" s="20">
        <v>87270</v>
      </c>
      <c r="X9" s="20">
        <v>26532</v>
      </c>
      <c r="Y9" s="20">
        <v>23062</v>
      </c>
      <c r="Z9" s="20">
        <v>23220</v>
      </c>
      <c r="AA9" s="23">
        <v>87270</v>
      </c>
      <c r="AB9" s="23">
        <v>8796</v>
      </c>
      <c r="AC9" s="23">
        <v>-999</v>
      </c>
      <c r="AD9" s="23">
        <v>-6545</v>
      </c>
      <c r="AE9" s="25">
        <v>1246</v>
      </c>
      <c r="AF9" s="51">
        <v>1246</v>
      </c>
      <c r="AG9" s="51">
        <v>8136</v>
      </c>
      <c r="AH9" s="51">
        <v>6550</v>
      </c>
    </row>
    <row r="10" spans="1:34" x14ac:dyDescent="0.3">
      <c r="A10" s="14" t="s">
        <v>58</v>
      </c>
      <c r="B10" s="16">
        <v>13721</v>
      </c>
      <c r="C10" s="16">
        <v>18508</v>
      </c>
      <c r="D10" s="16">
        <v>24283</v>
      </c>
      <c r="E10" s="16">
        <v>27821</v>
      </c>
      <c r="F10" s="16">
        <v>27811</v>
      </c>
      <c r="G10" s="16">
        <v>32374</v>
      </c>
      <c r="H10" s="16">
        <v>26929</v>
      </c>
      <c r="I10" s="16">
        <v>26532</v>
      </c>
      <c r="J10" s="16">
        <v>27194</v>
      </c>
      <c r="K10" s="17">
        <v>29223</v>
      </c>
      <c r="P10" s="24" t="s">
        <v>11</v>
      </c>
      <c r="Q10" s="20">
        <v>7599</v>
      </c>
      <c r="R10" s="20">
        <v>22155</v>
      </c>
      <c r="S10" s="20">
        <v>1283</v>
      </c>
      <c r="T10" s="20">
        <v>1248</v>
      </c>
      <c r="U10" s="20">
        <v>15358</v>
      </c>
      <c r="V10" s="20">
        <v>36545</v>
      </c>
      <c r="W10" s="20">
        <v>87896</v>
      </c>
      <c r="X10" s="20">
        <v>27194</v>
      </c>
      <c r="Y10" s="20">
        <v>17072</v>
      </c>
      <c r="Z10" s="20">
        <v>18977</v>
      </c>
      <c r="AA10" s="23">
        <v>87896</v>
      </c>
      <c r="AB10" s="23">
        <v>6930</v>
      </c>
      <c r="AC10" s="23">
        <v>-2254</v>
      </c>
      <c r="AD10" s="23">
        <v>-7409</v>
      </c>
      <c r="AE10" s="25">
        <v>-2477</v>
      </c>
      <c r="AF10" s="51">
        <v>-2477</v>
      </c>
      <c r="AG10" s="51">
        <v>6742</v>
      </c>
      <c r="AH10" s="51">
        <v>1283</v>
      </c>
    </row>
    <row r="11" spans="1:34" x14ac:dyDescent="0.3">
      <c r="A11" s="14" t="s">
        <v>67</v>
      </c>
      <c r="B11" s="16">
        <v>24799</v>
      </c>
      <c r="C11" s="16">
        <v>31003</v>
      </c>
      <c r="D11" s="16">
        <v>31635</v>
      </c>
      <c r="E11" s="16">
        <v>32790</v>
      </c>
      <c r="F11" s="16">
        <v>33173</v>
      </c>
      <c r="G11" s="16">
        <v>30320</v>
      </c>
      <c r="H11" s="16">
        <v>25554</v>
      </c>
      <c r="I11" s="16">
        <v>23062</v>
      </c>
      <c r="J11" s="16">
        <v>17072</v>
      </c>
      <c r="K11" s="17">
        <v>16981</v>
      </c>
      <c r="P11" s="26" t="s">
        <v>12</v>
      </c>
      <c r="Q11" s="27">
        <v>8700</v>
      </c>
      <c r="R11" s="27">
        <v>20086</v>
      </c>
      <c r="S11" s="27">
        <v>6476</v>
      </c>
      <c r="T11" s="27">
        <v>6434</v>
      </c>
      <c r="U11" s="27">
        <v>10951</v>
      </c>
      <c r="V11" s="27">
        <v>30634</v>
      </c>
      <c r="W11" s="27">
        <v>83216</v>
      </c>
      <c r="X11" s="27">
        <v>29223</v>
      </c>
      <c r="Y11" s="27">
        <v>16981</v>
      </c>
      <c r="Z11" s="27">
        <v>19058</v>
      </c>
      <c r="AA11" s="28">
        <v>83216</v>
      </c>
      <c r="AB11" s="28">
        <v>7320</v>
      </c>
      <c r="AC11" s="28">
        <v>6348</v>
      </c>
      <c r="AD11" s="28">
        <v>-10552</v>
      </c>
      <c r="AE11" s="29">
        <v>2945</v>
      </c>
      <c r="AF11" s="53">
        <v>2945</v>
      </c>
      <c r="AG11" s="53">
        <v>8350</v>
      </c>
      <c r="AH11" s="53">
        <v>6476</v>
      </c>
    </row>
    <row r="12" spans="1:34" x14ac:dyDescent="0.3">
      <c r="A12" s="14" t="s">
        <v>69</v>
      </c>
      <c r="B12" s="16">
        <v>25346</v>
      </c>
      <c r="C12" s="16">
        <v>31317</v>
      </c>
      <c r="D12" s="16">
        <v>31921</v>
      </c>
      <c r="E12" s="16">
        <v>33168</v>
      </c>
      <c r="F12" s="16">
        <v>33440</v>
      </c>
      <c r="G12" s="16">
        <v>30561</v>
      </c>
      <c r="H12" s="16">
        <v>25764</v>
      </c>
      <c r="I12" s="16">
        <v>23220</v>
      </c>
      <c r="J12" s="16">
        <v>18977</v>
      </c>
      <c r="K12" s="17">
        <v>19058</v>
      </c>
      <c r="Q12" s="21"/>
      <c r="R12" s="22"/>
      <c r="S12" s="22"/>
      <c r="T12" s="22"/>
      <c r="U12" s="22"/>
      <c r="V12" s="22"/>
      <c r="W12" s="22"/>
      <c r="X12" s="22"/>
      <c r="Y12" s="22"/>
      <c r="Z12" s="22"/>
      <c r="AA12" s="22"/>
    </row>
    <row r="13" spans="1:34" x14ac:dyDescent="0.3">
      <c r="A13" s="14" t="s">
        <v>70</v>
      </c>
      <c r="B13" s="16">
        <v>48671</v>
      </c>
      <c r="C13" s="16">
        <v>72921</v>
      </c>
      <c r="D13" s="16">
        <v>79974</v>
      </c>
      <c r="E13" s="16">
        <v>86174</v>
      </c>
      <c r="F13" s="16">
        <v>90055</v>
      </c>
      <c r="G13" s="16">
        <v>92023</v>
      </c>
      <c r="H13" s="16">
        <v>89996</v>
      </c>
      <c r="I13" s="16">
        <v>87270</v>
      </c>
      <c r="J13" s="16">
        <v>87896</v>
      </c>
      <c r="K13" s="17">
        <v>83216</v>
      </c>
      <c r="Q13" s="21"/>
      <c r="R13" s="22"/>
      <c r="S13" s="22"/>
      <c r="T13" s="22"/>
      <c r="U13" s="22"/>
      <c r="V13" s="22"/>
      <c r="W13" s="22"/>
      <c r="X13" s="22"/>
      <c r="Y13" s="22"/>
      <c r="Z13" s="22"/>
      <c r="AA13" s="22"/>
    </row>
    <row r="14" spans="1:34" x14ac:dyDescent="0.3">
      <c r="A14" s="14" t="s">
        <v>81</v>
      </c>
      <c r="B14" s="16">
        <v>8186</v>
      </c>
      <c r="C14" s="16">
        <v>9532</v>
      </c>
      <c r="D14" s="16">
        <v>9474</v>
      </c>
      <c r="E14" s="16">
        <v>10645</v>
      </c>
      <c r="F14" s="16">
        <v>10542</v>
      </c>
      <c r="G14" s="16">
        <v>10615</v>
      </c>
      <c r="H14" s="16">
        <v>10528</v>
      </c>
      <c r="I14" s="16">
        <v>8796</v>
      </c>
      <c r="J14" s="16">
        <v>6930</v>
      </c>
      <c r="K14" s="17">
        <v>7320</v>
      </c>
      <c r="Q14" s="21"/>
      <c r="R14" s="22"/>
      <c r="S14" s="22"/>
      <c r="T14" s="22"/>
      <c r="U14" s="22"/>
      <c r="V14" s="22"/>
      <c r="W14" s="22"/>
      <c r="X14" s="22"/>
      <c r="Y14" s="22"/>
      <c r="Z14" s="22"/>
      <c r="AA14" s="22"/>
    </row>
    <row r="15" spans="1:34" x14ac:dyDescent="0.3">
      <c r="A15" s="14" t="s">
        <v>90</v>
      </c>
      <c r="B15" s="16">
        <v>-4149</v>
      </c>
      <c r="C15" s="16">
        <v>-4405</v>
      </c>
      <c r="D15" s="16">
        <v>-2524</v>
      </c>
      <c r="E15" s="16">
        <v>-11404</v>
      </c>
      <c r="F15" s="16">
        <v>-4214</v>
      </c>
      <c r="G15" s="16">
        <v>-7506</v>
      </c>
      <c r="H15" s="16">
        <v>-6186</v>
      </c>
      <c r="I15" s="16">
        <v>-999</v>
      </c>
      <c r="J15" s="16">
        <v>-2254</v>
      </c>
      <c r="K15" s="17">
        <v>6348</v>
      </c>
      <c r="Q15" s="21"/>
      <c r="R15" s="22"/>
      <c r="S15" s="22"/>
      <c r="T15" s="22"/>
      <c r="U15" s="22"/>
      <c r="V15" s="22"/>
      <c r="W15" s="22"/>
      <c r="X15" s="22"/>
      <c r="Y15" s="22"/>
      <c r="Z15" s="22"/>
      <c r="AA15" s="22"/>
    </row>
    <row r="16" spans="1:34" x14ac:dyDescent="0.3">
      <c r="A16" s="14" t="s">
        <v>97</v>
      </c>
      <c r="B16" s="16">
        <v>-2293</v>
      </c>
      <c r="C16" s="16">
        <v>-3465</v>
      </c>
      <c r="D16" s="16">
        <v>-2234</v>
      </c>
      <c r="E16" s="16">
        <v>-3347</v>
      </c>
      <c r="F16" s="16">
        <v>-3745</v>
      </c>
      <c r="G16" s="16">
        <v>-3631</v>
      </c>
      <c r="H16" s="16">
        <v>-5113</v>
      </c>
      <c r="I16" s="16">
        <v>-6545</v>
      </c>
      <c r="J16" s="16">
        <v>-7409</v>
      </c>
      <c r="K16" s="17">
        <v>-10552</v>
      </c>
      <c r="Q16" s="21"/>
      <c r="R16" s="22"/>
      <c r="S16" s="22"/>
      <c r="T16" s="22"/>
      <c r="U16" s="22"/>
      <c r="V16" s="22"/>
      <c r="W16" s="22"/>
      <c r="X16" s="22"/>
      <c r="Y16" s="22"/>
      <c r="Z16" s="22"/>
      <c r="AA16" s="22"/>
    </row>
    <row r="17" spans="1:11" x14ac:dyDescent="0.3">
      <c r="A17" s="15" t="s">
        <v>103</v>
      </c>
      <c r="B17" s="18">
        <v>2320</v>
      </c>
      <c r="C17" s="18">
        <v>1496</v>
      </c>
      <c r="D17" s="18">
        <v>4286</v>
      </c>
      <c r="E17" s="18">
        <v>-4361</v>
      </c>
      <c r="F17" s="18">
        <v>1972</v>
      </c>
      <c r="G17" s="18">
        <v>-1456</v>
      </c>
      <c r="H17" s="18">
        <v>-1649</v>
      </c>
      <c r="I17" s="18">
        <v>1246</v>
      </c>
      <c r="J17" s="18">
        <v>-2477</v>
      </c>
      <c r="K17" s="19">
        <v>2945</v>
      </c>
    </row>
  </sheetData>
  <phoneticPr fontId="6" type="noConversion"/>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1</vt:i4>
      </vt:variant>
    </vt:vector>
  </HeadingPairs>
  <TitlesOfParts>
    <vt:vector size="8" baseType="lpstr">
      <vt:lpstr>(RAW FILE)COCA COLA CO</vt:lpstr>
      <vt:lpstr>Sheet1</vt:lpstr>
      <vt:lpstr>Sheet3</vt:lpstr>
      <vt:lpstr>Sheet6</vt:lpstr>
      <vt:lpstr>DASHBOARD1</vt:lpstr>
      <vt:lpstr>Sheet11</vt:lpstr>
      <vt:lpstr>Sheet2</vt:lpstr>
      <vt:lpstr>Chart1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Flassbeck</dc:creator>
  <cp:keywords/>
  <dc:description/>
  <cp:lastModifiedBy>Krishna Gangwani</cp:lastModifiedBy>
  <dcterms:created xsi:type="dcterms:W3CDTF">2016-07-27T10:12:29Z</dcterms:created>
  <dcterms:modified xsi:type="dcterms:W3CDTF">2026-05-27T11:31:51Z</dcterms:modified>
  <cp:category/>
</cp:coreProperties>
</file>