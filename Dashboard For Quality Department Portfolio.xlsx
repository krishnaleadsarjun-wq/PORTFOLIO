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rishna\Desktop\"/>
    </mc:Choice>
  </mc:AlternateContent>
  <xr:revisionPtr revIDLastSave="0" documentId="8_{8771A080-60FB-4DB8-9D33-591FBDF1FFA1}" xr6:coauthVersionLast="47" xr6:coauthVersionMax="47" xr10:uidLastSave="{00000000-0000-0000-0000-000000000000}"/>
  <workbookProtection lockStructure="1"/>
  <bookViews>
    <workbookView xWindow="-108" yWindow="-108" windowWidth="23256" windowHeight="12456" firstSheet="1" activeTab="6" xr2:uid="{71AA7D70-F0BF-4C21-A4B6-504474564DBD}"/>
  </bookViews>
  <sheets>
    <sheet name="Different RFT1" sheetId="23" state="hidden" r:id="rId1"/>
    <sheet name="RFT" sheetId="4" r:id="rId2"/>
    <sheet name="Status" sheetId="10" state="hidden" r:id="rId3"/>
    <sheet name="Quality Report" sheetId="20" state="hidden" r:id="rId4"/>
    <sheet name="Month Comparison" sheetId="6" state="hidden" r:id="rId5"/>
    <sheet name="Reference for KPI card" sheetId="11" state="hidden" r:id="rId6"/>
    <sheet name="Dashboard" sheetId="7" r:id="rId7"/>
  </sheets>
  <definedNames>
    <definedName name="_xlcn.WorksheetConnection_1.SalomonKPIProjectionDraft.xlsxTable11" hidden="1">Table1[]</definedName>
    <definedName name="_xlcn.WorksheetConnection_1.SalomonKPIProjectionDraft.xlsxTable21" hidden="1">QMARKUPTABLE</definedName>
    <definedName name="_xlcn.WorksheetConnection_1.SalomonKPIProjectionDraft.xlsxTable31" hidden="1">Table3</definedName>
    <definedName name="Slicer_Month">#N/A</definedName>
    <definedName name="Slicer_Status">#N/A</definedName>
  </definedNames>
  <calcPr calcId="191029"/>
  <pivotCaches>
    <pivotCache cacheId="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1. Salomon KPI Projection Draft.xlsx!Table3"/>
          <x15:modelTable id="Table2" name="Table2" connection="WorksheetConnection_1. Salomon KPI Projection Draft.xlsx!Table2"/>
          <x15:modelTable id="Table1" name="Table1" connection="WorksheetConnection_1. Salomon KPI Projection Draft.xlsx!Table1"/>
        </x15:modelTables>
        <x15:modelRelationships>
          <x15:modelRelationship fromTable="Table2" fromColumn="Month" toTable="Table3" toColumn="Months"/>
          <x15:modelRelationship fromTable="Table1" fromColumn="Month" toTable="Table3" toColumn="Month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4" l="1"/>
  <c r="K14" i="4"/>
  <c r="J14" i="4"/>
  <c r="G14" i="4"/>
  <c r="L8" i="4"/>
  <c r="J10" i="4"/>
  <c r="K8" i="4"/>
  <c r="D8" i="4"/>
  <c r="J8" i="4"/>
  <c r="G8" i="4"/>
  <c r="E14" i="4"/>
  <c r="F14" i="4"/>
  <c r="H14" i="4"/>
  <c r="I14" i="4"/>
  <c r="C14" i="4"/>
  <c r="D9" i="4"/>
  <c r="B2" i="11"/>
  <c r="C2" i="11"/>
  <c r="D2" i="11"/>
  <c r="D3" i="11" l="1"/>
  <c r="C3" i="11"/>
  <c r="J9" i="4" l="1"/>
  <c r="J11" i="4"/>
  <c r="J12" i="4"/>
  <c r="J13" i="4"/>
  <c r="G9" i="4"/>
  <c r="G10" i="4"/>
  <c r="G11" i="4"/>
  <c r="G12" i="4"/>
  <c r="G13" i="4"/>
  <c r="D10" i="4"/>
  <c r="D11" i="4"/>
  <c r="D12" i="4"/>
  <c r="D13" i="4"/>
  <c r="K9" i="4" l="1"/>
  <c r="K11" i="4"/>
  <c r="L11" i="4"/>
  <c r="K10" i="4"/>
  <c r="K13" i="4"/>
  <c r="K12" i="4"/>
  <c r="L9" i="4" l="1"/>
  <c r="L10" i="4"/>
  <c r="L12" i="4"/>
  <c r="L13" i="4"/>
  <c r="L1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1CD66D-2D9E-460E-A03F-12B6A0BC85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364AD7-2B31-4813-80B0-2730AB72F82F}" name="WorksheetConnection_1. Salomon KPI Projection Draft.xlsx!Table1" type="102" refreshedVersion="8" minRefreshableVersion="5">
    <extLst>
      <ext xmlns:x15="http://schemas.microsoft.com/office/spreadsheetml/2010/11/main" uri="{DE250136-89BD-433C-8126-D09CA5730AF9}">
        <x15:connection id="Table1">
          <x15:rangePr sourceName="_xlcn.WorksheetConnection_1.SalomonKPIProjectionDraft.xlsxTable11"/>
        </x15:connection>
      </ext>
    </extLst>
  </connection>
  <connection id="3" xr16:uid="{CB4B9C78-9C09-46BA-B55E-2EC7BB692785}" name="WorksheetConnection_1. Salomon KPI Projection Draft.xlsx!Table2" type="102" refreshedVersion="8" minRefreshableVersion="5">
    <extLst>
      <ext xmlns:x15="http://schemas.microsoft.com/office/spreadsheetml/2010/11/main" uri="{DE250136-89BD-433C-8126-D09CA5730AF9}">
        <x15:connection id="Table2">
          <x15:rangePr sourceName="_xlcn.WorksheetConnection_1.SalomonKPIProjectionDraft.xlsxTable21"/>
        </x15:connection>
      </ext>
    </extLst>
  </connection>
  <connection id="4" xr16:uid="{341C7EA6-CEE2-4DCC-A92D-FDFCE6AD691B}" name="WorksheetConnection_1. Salomon KPI Projection Draft.xlsx!Table3" type="102" refreshedVersion="8" minRefreshableVersion="5">
    <extLst>
      <ext xmlns:x15="http://schemas.microsoft.com/office/spreadsheetml/2010/11/main" uri="{DE250136-89BD-433C-8126-D09CA5730AF9}">
        <x15:connection id="Table3">
          <x15:rangePr sourceName="_xlcn.WorksheetConnection_1.SalomonKPIProjectionDraft.xlsxTable31"/>
        </x15:connection>
      </ext>
    </extLst>
  </connection>
</connections>
</file>

<file path=xl/sharedStrings.xml><?xml version="1.0" encoding="utf-8"?>
<sst xmlns="http://schemas.openxmlformats.org/spreadsheetml/2006/main" count="47" uniqueCount="37">
  <si>
    <t xml:space="preserve">RFT </t>
  </si>
  <si>
    <t xml:space="preserve">Month </t>
  </si>
  <si>
    <t>Q-Marks FI FTY Point</t>
  </si>
  <si>
    <t xml:space="preserve">RFT Projection </t>
  </si>
  <si>
    <t xml:space="preserve">Qty Delivered </t>
  </si>
  <si>
    <t xml:space="preserve">Qty Inspected </t>
  </si>
  <si>
    <t xml:space="preserve">Final 
RFT Result </t>
  </si>
  <si>
    <t xml:space="preserve">Qty of Batch Rejected </t>
  </si>
  <si>
    <t>Target : 72%</t>
  </si>
  <si>
    <t xml:space="preserve">Status </t>
  </si>
  <si>
    <t xml:space="preserve">KPI Indicator  </t>
  </si>
  <si>
    <t>Column1</t>
  </si>
  <si>
    <t>Column2</t>
  </si>
  <si>
    <t>Column3</t>
  </si>
  <si>
    <t>Column4</t>
  </si>
  <si>
    <t>Column5</t>
  </si>
  <si>
    <t>Column6</t>
  </si>
  <si>
    <t>Column7</t>
  </si>
  <si>
    <t>Column8</t>
  </si>
  <si>
    <t>Row Labels</t>
  </si>
  <si>
    <t>Grand Total</t>
  </si>
  <si>
    <t xml:space="preserve">Count of Status </t>
  </si>
  <si>
    <t xml:space="preserve">Average of Final </t>
  </si>
  <si>
    <t>Column Labels</t>
  </si>
  <si>
    <t>On Track</t>
  </si>
  <si>
    <t>status offtrack</t>
  </si>
  <si>
    <t>on track</t>
  </si>
  <si>
    <t>total</t>
  </si>
  <si>
    <t>Off Track</t>
  </si>
  <si>
    <t>6 Monthly Quality Analysis</t>
  </si>
  <si>
    <t>RFT FRI</t>
  </si>
  <si>
    <t>RFT AQL</t>
  </si>
  <si>
    <t>Qty inspected AQL</t>
  </si>
  <si>
    <t>RFT BTP</t>
  </si>
  <si>
    <t>Qty of Batch Rejected AQL</t>
  </si>
  <si>
    <t>Qty Rejected FPI</t>
  </si>
  <si>
    <t>RFT FPI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</si>
</sst>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9"/>
      <color rgb="FF000000"/>
      <name val="Calibri"/>
      <family val="2"/>
      <scheme val="minor"/>
    </font>
    <font>
      <b/>
      <sz val="11"/>
      <color theme="8"/>
      <name val="Calibri"/>
      <family val="2"/>
      <scheme val="minor"/>
    </font>
    <font>
      <sz val="9"/>
      <color theme="1"/>
      <name val="Calibri"/>
      <family val="2"/>
      <scheme val="minor"/>
    </font>
    <font>
      <sz val="8"/>
      <name val="Calibri"/>
      <family val="2"/>
      <scheme val="minor"/>
    </font>
    <font>
      <sz val="10"/>
      <color theme="1"/>
      <name val="Calibri"/>
      <family val="2"/>
      <scheme val="minor"/>
    </font>
    <font>
      <b/>
      <sz val="24"/>
      <color theme="0"/>
      <name val="Calibri"/>
      <family val="2"/>
      <scheme val="minor"/>
    </font>
  </fonts>
  <fills count="7">
    <fill>
      <patternFill patternType="none"/>
    </fill>
    <fill>
      <patternFill patternType="gray125"/>
    </fill>
    <fill>
      <patternFill patternType="solid">
        <fgColor theme="3"/>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1" xfId="0" applyBorder="1" applyAlignment="1">
      <alignment horizontal="center"/>
    </xf>
    <xf numFmtId="0" fontId="4" fillId="0" borderId="0" xfId="0" applyFont="1"/>
    <xf numFmtId="0" fontId="2" fillId="2" borderId="1" xfId="0" applyFont="1" applyFill="1" applyBorder="1" applyAlignment="1">
      <alignment horizontal="center" vertical="center"/>
    </xf>
    <xf numFmtId="0" fontId="0" fillId="0" borderId="4" xfId="0" applyBorder="1"/>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0" borderId="0" xfId="0" applyFont="1"/>
    <xf numFmtId="9" fontId="0" fillId="0" borderId="1" xfId="1" applyFont="1" applyBorder="1"/>
    <xf numFmtId="0" fontId="7" fillId="0" borderId="0" xfId="0" applyFont="1"/>
    <xf numFmtId="9" fontId="0" fillId="0" borderId="1" xfId="1" applyFont="1" applyBorder="1" applyAlignment="1">
      <alignment horizontal="center"/>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xf>
    <xf numFmtId="0" fontId="3" fillId="0" borderId="4" xfId="0" applyFont="1" applyBorder="1" applyAlignment="1">
      <alignment horizontal="center" vertical="center"/>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7" xfId="0" applyFont="1" applyBorder="1" applyAlignment="1">
      <alignment horizontal="center" vertical="center"/>
    </xf>
    <xf numFmtId="17" fontId="0" fillId="0" borderId="8" xfId="0" applyNumberFormat="1" applyBorder="1" applyAlignment="1">
      <alignment horizontal="center"/>
    </xf>
    <xf numFmtId="0" fontId="0" fillId="0" borderId="2" xfId="0" applyBorder="1" applyAlignment="1">
      <alignment horizontal="center"/>
    </xf>
    <xf numFmtId="9" fontId="0" fillId="0" borderId="2" xfId="1" applyFont="1" applyBorder="1" applyAlignment="1">
      <alignment horizontal="center"/>
    </xf>
    <xf numFmtId="9" fontId="0" fillId="0" borderId="2" xfId="1" applyFont="1" applyBorder="1"/>
    <xf numFmtId="0" fontId="0" fillId="0" borderId="9" xfId="0" applyBorder="1"/>
    <xf numFmtId="0" fontId="0" fillId="0" borderId="0" xfId="0" pivotButton="1"/>
    <xf numFmtId="0" fontId="0" fillId="0" borderId="0" xfId="0" applyAlignment="1">
      <alignment horizontal="left"/>
    </xf>
    <xf numFmtId="9" fontId="0" fillId="0" borderId="0" xfId="0" applyNumberFormat="1"/>
    <xf numFmtId="0" fontId="0" fillId="6" borderId="0" xfId="0" applyFill="1"/>
    <xf numFmtId="0" fontId="9" fillId="6" borderId="0" xfId="0" applyFont="1" applyFill="1"/>
    <xf numFmtId="17" fontId="0" fillId="0" borderId="0" xfId="0" applyNumberFormat="1"/>
    <xf numFmtId="17" fontId="0" fillId="0" borderId="0" xfId="0" applyNumberFormat="1" applyAlignment="1">
      <alignment horizontal="left"/>
    </xf>
    <xf numFmtId="0" fontId="5" fillId="0" borderId="0" xfId="0" applyFont="1" applyAlignment="1">
      <alignment horizontal="left" vertical="top" wrapText="1"/>
    </xf>
    <xf numFmtId="0" fontId="10" fillId="6"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38">
    <dxf>
      <numFmt numFmtId="22" formatCode="mmm/yy"/>
    </dxf>
    <dxf>
      <numFmt numFmtId="13" formatCode="0%"/>
    </dxf>
    <dxf>
      <numFmt numFmtId="22" formatCode="mmm/yy"/>
    </dxf>
    <dxf>
      <fill>
        <patternFill>
          <bgColor rgb="FF00B050"/>
        </patternFill>
      </fill>
    </dxf>
    <dxf>
      <fill>
        <patternFill>
          <bgColor rgb="FFFF0000"/>
        </patternFill>
      </fill>
    </dxf>
    <dxf>
      <fill>
        <patternFill>
          <bgColor rgb="FF00B050"/>
        </patternFill>
      </fill>
    </dxf>
    <dxf>
      <fill>
        <patternFill>
          <bgColor rgb="FFFF0000"/>
        </patternFill>
      </fill>
    </dxf>
    <dxf>
      <numFmt numFmtId="22" formatCode="mmm/yy"/>
    </dxf>
    <dxf>
      <numFmt numFmtId="13" formatCode="0%"/>
    </dxf>
    <dxf>
      <numFmt numFmtId="22" formatCode="mmm/yy"/>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numFmt numFmtId="22" formatCode="mmm/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Quality Department Portfolio.xlsx]Month Comparison!Month Comparison</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Comparison'!$B$3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'Month Comparison'!$A$4:$A$10</c:f>
              <c:strCache>
                <c:ptCount val="6"/>
                <c:pt idx="0">
                  <c:v>01-07-2026</c:v>
                </c:pt>
                <c:pt idx="1">
                  <c:v>01-08-2026</c:v>
                </c:pt>
                <c:pt idx="2">
                  <c:v>01-09-2026</c:v>
                </c:pt>
                <c:pt idx="3">
                  <c:v>01-10-2026</c:v>
                </c:pt>
                <c:pt idx="4">
                  <c:v>01-11-2026</c:v>
                </c:pt>
                <c:pt idx="5">
                  <c:v>01-12-2026</c:v>
                </c:pt>
              </c:strCache>
            </c:strRef>
          </c:cat>
          <c:val>
            <c:numRef>
              <c:f>'Month Comparison'!$B$4:$B$10</c:f>
              <c:numCache>
                <c:formatCode>0%</c:formatCode>
                <c:ptCount val="6"/>
                <c:pt idx="0">
                  <c:v>0.90569141382599139</c:v>
                </c:pt>
                <c:pt idx="1">
                  <c:v>0.84770971853787658</c:v>
                </c:pt>
                <c:pt idx="2">
                  <c:v>0.53567709366610428</c:v>
                </c:pt>
                <c:pt idx="3">
                  <c:v>0.88154406183427614</c:v>
                </c:pt>
                <c:pt idx="4">
                  <c:v>0.95576940388123466</c:v>
                </c:pt>
                <c:pt idx="5">
                  <c:v>0.83532586752239846</c:v>
                </c:pt>
              </c:numCache>
            </c:numRef>
          </c:val>
          <c:smooth val="0"/>
          <c:extLst>
            <c:ext xmlns:c16="http://schemas.microsoft.com/office/drawing/2014/chart" uri="{C3380CC4-5D6E-409C-BE32-E72D297353CC}">
              <c16:uniqueId val="{00000000-8BD7-428F-93E2-3E99CAAF9EC9}"/>
            </c:ext>
          </c:extLst>
        </c:ser>
        <c:dLbls>
          <c:showLegendKey val="0"/>
          <c:showVal val="0"/>
          <c:showCatName val="0"/>
          <c:showSerName val="0"/>
          <c:showPercent val="0"/>
          <c:showBubbleSize val="0"/>
        </c:dLbls>
        <c:marker val="1"/>
        <c:smooth val="0"/>
        <c:axId val="835437983"/>
        <c:axId val="835428863"/>
      </c:lineChart>
      <c:catAx>
        <c:axId val="8354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5428863"/>
        <c:crosses val="autoZero"/>
        <c:auto val="1"/>
        <c:lblAlgn val="ctr"/>
        <c:lblOffset val="100"/>
        <c:noMultiLvlLbl val="0"/>
      </c:catAx>
      <c:valAx>
        <c:axId val="835428863"/>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Quality Department Portfolio.xlsx]Month Comparison!Month Comparison</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RFT Results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7228580628166"/>
          <c:y val="0.14173630454967504"/>
          <c:w val="0.8640361404638548"/>
          <c:h val="0.58229370005629522"/>
        </c:manualLayout>
      </c:layout>
      <c:lineChart>
        <c:grouping val="standard"/>
        <c:varyColors val="0"/>
        <c:ser>
          <c:idx val="0"/>
          <c:order val="0"/>
          <c:tx>
            <c:strRef>
              <c:f>'Month Comparison'!$B$3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 Comparison'!$A$4:$A$10</c:f>
              <c:strCache>
                <c:ptCount val="6"/>
                <c:pt idx="0">
                  <c:v>01-07-2026</c:v>
                </c:pt>
                <c:pt idx="1">
                  <c:v>01-08-2026</c:v>
                </c:pt>
                <c:pt idx="2">
                  <c:v>01-09-2026</c:v>
                </c:pt>
                <c:pt idx="3">
                  <c:v>01-10-2026</c:v>
                </c:pt>
                <c:pt idx="4">
                  <c:v>01-11-2026</c:v>
                </c:pt>
                <c:pt idx="5">
                  <c:v>01-12-2026</c:v>
                </c:pt>
              </c:strCache>
            </c:strRef>
          </c:cat>
          <c:val>
            <c:numRef>
              <c:f>'Month Comparison'!$B$4:$B$10</c:f>
              <c:numCache>
                <c:formatCode>0%</c:formatCode>
                <c:ptCount val="6"/>
                <c:pt idx="0">
                  <c:v>0.90569141382599139</c:v>
                </c:pt>
                <c:pt idx="1">
                  <c:v>0.84770971853787658</c:v>
                </c:pt>
                <c:pt idx="2">
                  <c:v>0.53567709366610428</c:v>
                </c:pt>
                <c:pt idx="3">
                  <c:v>0.88154406183427614</c:v>
                </c:pt>
                <c:pt idx="4">
                  <c:v>0.95576940388123466</c:v>
                </c:pt>
                <c:pt idx="5">
                  <c:v>0.83532586752239846</c:v>
                </c:pt>
              </c:numCache>
            </c:numRef>
          </c:val>
          <c:smooth val="0"/>
          <c:extLst>
            <c:ext xmlns:c16="http://schemas.microsoft.com/office/drawing/2014/chart" uri="{C3380CC4-5D6E-409C-BE32-E72D297353CC}">
              <c16:uniqueId val="{00000000-AF29-4030-BDB2-0ABFA2E3B10D}"/>
            </c:ext>
          </c:extLst>
        </c:ser>
        <c:dLbls>
          <c:showLegendKey val="0"/>
          <c:showVal val="1"/>
          <c:showCatName val="0"/>
          <c:showSerName val="0"/>
          <c:showPercent val="0"/>
          <c:showBubbleSize val="0"/>
        </c:dLbls>
        <c:marker val="1"/>
        <c:smooth val="0"/>
        <c:axId val="1597792368"/>
        <c:axId val="1597795248"/>
      </c:lineChart>
      <c:dateAx>
        <c:axId val="1597792368"/>
        <c:scaling>
          <c:orientation val="minMax"/>
        </c:scaling>
        <c:delete val="0"/>
        <c:axPos val="b"/>
        <c:numFmt formatCode="[$-14009]d\ m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lgn="ctr">
              <a:defRPr lang="en-US" sz="1100" b="1" i="0" u="none" strike="noStrike" kern="1200" cap="all" spc="120" normalizeH="0" baseline="0">
                <a:solidFill>
                  <a:schemeClr val="tx1">
                    <a:lumMod val="65000"/>
                    <a:lumOff val="35000"/>
                  </a:schemeClr>
                </a:solidFill>
                <a:latin typeface="+mn-lt"/>
                <a:ea typeface="+mn-ea"/>
                <a:cs typeface="+mn-cs"/>
              </a:defRPr>
            </a:pPr>
            <a:endParaRPr lang="en-US"/>
          </a:p>
        </c:txPr>
        <c:crossAx val="1597795248"/>
        <c:crosses val="autoZero"/>
        <c:auto val="0"/>
        <c:lblOffset val="1"/>
        <c:baseTimeUnit val="days"/>
      </c:dateAx>
      <c:valAx>
        <c:axId val="1597795248"/>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5977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For Quality Department Portfolio.xlsx]Quality Report!PivotTable17</c:name>
    <c:fmtId val="4"/>
  </c:pivotSource>
  <c:chart>
    <c:title>
      <c:tx>
        <c:rich>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r>
              <a:rPr lang="en-IN" sz="1600" b="1" i="0" u="none" strike="noStrike" kern="1200" cap="all" spc="120" normalizeH="0" baseline="0">
                <a:solidFill>
                  <a:sysClr val="windowText" lastClr="000000">
                    <a:lumMod val="65000"/>
                    <a:lumOff val="35000"/>
                  </a:sysClr>
                </a:solidFill>
                <a:latin typeface="+mn-lt"/>
                <a:ea typeface="+mn-ea"/>
                <a:cs typeface="+mn-cs"/>
              </a:rPr>
              <a:t>Quality Report</a:t>
            </a:r>
          </a:p>
          <a:p>
            <a:pPr algn="ctr" rtl="0">
              <a:defRPr lang="en-IN" sz="1600" b="1" cap="all" spc="120" normalizeH="0">
                <a:solidFill>
                  <a:sysClr val="windowText" lastClr="000000">
                    <a:lumMod val="65000"/>
                    <a:lumOff val="35000"/>
                  </a:sysClr>
                </a:solidFill>
              </a:defRPr>
            </a:pPr>
            <a:endParaRPr lang="en-IN" sz="1600" b="1" i="0" u="none" strike="noStrike" kern="1200" cap="all" spc="120" normalizeH="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'Quality Report'!$A$3</c:f>
              <c:strCache>
                <c:ptCount val="1"/>
                <c:pt idx="0">
                  <c:v>Qty Delivered </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Report'!$A$4</c:f>
              <c:strCache>
                <c:ptCount val="1"/>
                <c:pt idx="0">
                  <c:v>Total</c:v>
                </c:pt>
              </c:strCache>
            </c:strRef>
          </c:cat>
          <c:val>
            <c:numRef>
              <c:f>'Quality Report'!$A$4</c:f>
              <c:numCache>
                <c:formatCode>General</c:formatCode>
                <c:ptCount val="1"/>
                <c:pt idx="0">
                  <c:v>8131</c:v>
                </c:pt>
              </c:numCache>
            </c:numRef>
          </c:val>
          <c:extLst>
            <c:ext xmlns:c16="http://schemas.microsoft.com/office/drawing/2014/chart" uri="{C3380CC4-5D6E-409C-BE32-E72D297353CC}">
              <c16:uniqueId val="{00000000-D1BF-4B44-BC36-D6D35ECE99E9}"/>
            </c:ext>
          </c:extLst>
        </c:ser>
        <c:ser>
          <c:idx val="1"/>
          <c:order val="1"/>
          <c:tx>
            <c:strRef>
              <c:f>'Quality Report'!$B$3</c:f>
              <c:strCache>
                <c:ptCount val="1"/>
                <c:pt idx="0">
                  <c:v>Qty Inspected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Report'!$A$4</c:f>
              <c:strCache>
                <c:ptCount val="1"/>
                <c:pt idx="0">
                  <c:v>Total</c:v>
                </c:pt>
              </c:strCache>
            </c:strRef>
          </c:cat>
          <c:val>
            <c:numRef>
              <c:f>'Quality Report'!$B$4</c:f>
              <c:numCache>
                <c:formatCode>General</c:formatCode>
                <c:ptCount val="1"/>
                <c:pt idx="0">
                  <c:v>7360</c:v>
                </c:pt>
              </c:numCache>
            </c:numRef>
          </c:val>
          <c:extLst>
            <c:ext xmlns:c16="http://schemas.microsoft.com/office/drawing/2014/chart" uri="{C3380CC4-5D6E-409C-BE32-E72D297353CC}">
              <c16:uniqueId val="{00000001-D1BF-4B44-BC36-D6D35ECE99E9}"/>
            </c:ext>
          </c:extLst>
        </c:ser>
        <c:ser>
          <c:idx val="2"/>
          <c:order val="2"/>
          <c:tx>
            <c:strRef>
              <c:f>'Quality Report'!$C$3</c:f>
              <c:strCache>
                <c:ptCount val="1"/>
                <c:pt idx="0">
                  <c:v>Qty of Batch Rejected </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Report'!$A$4</c:f>
              <c:strCache>
                <c:ptCount val="1"/>
                <c:pt idx="0">
                  <c:v>Total</c:v>
                </c:pt>
              </c:strCache>
            </c:strRef>
          </c:cat>
          <c:val>
            <c:numRef>
              <c:f>'Quality Report'!$C$4</c:f>
              <c:numCache>
                <c:formatCode>General</c:formatCode>
                <c:ptCount val="1"/>
                <c:pt idx="0">
                  <c:v>150</c:v>
                </c:pt>
              </c:numCache>
            </c:numRef>
          </c:val>
          <c:extLst>
            <c:ext xmlns:c16="http://schemas.microsoft.com/office/drawing/2014/chart" uri="{C3380CC4-5D6E-409C-BE32-E72D297353CC}">
              <c16:uniqueId val="{00000002-D1BF-4B44-BC36-D6D35ECE99E9}"/>
            </c:ext>
          </c:extLst>
        </c:ser>
        <c:dLbls>
          <c:dLblPos val="outEnd"/>
          <c:showLegendKey val="0"/>
          <c:showVal val="1"/>
          <c:showCatName val="0"/>
          <c:showSerName val="0"/>
          <c:showPercent val="0"/>
          <c:showBubbleSize val="0"/>
        </c:dLbls>
        <c:gapWidth val="219"/>
        <c:overlap val="-27"/>
        <c:axId val="1405609344"/>
        <c:axId val="1405607904"/>
      </c:barChart>
      <c:catAx>
        <c:axId val="140560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cap="all" spc="120" normalizeH="0" baseline="0">
                <a:solidFill>
                  <a:schemeClr val="tx1">
                    <a:lumMod val="65000"/>
                    <a:lumOff val="35000"/>
                  </a:schemeClr>
                </a:solidFill>
                <a:latin typeface="+mn-lt"/>
                <a:ea typeface="+mn-ea"/>
                <a:cs typeface="+mn-cs"/>
              </a:defRPr>
            </a:pPr>
            <a:endParaRPr lang="en-US"/>
          </a:p>
        </c:txPr>
        <c:crossAx val="1405607904"/>
        <c:crosses val="autoZero"/>
        <c:auto val="1"/>
        <c:lblAlgn val="ctr"/>
        <c:lblOffset val="100"/>
        <c:noMultiLvlLbl val="0"/>
      </c:catAx>
      <c:valAx>
        <c:axId val="140560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40560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For Quality Department Portfolio.xlsx]Different RFT1!PivotTable1</c:name>
    <c:fmtId val="5"/>
  </c:pivotSource>
  <c:chart>
    <c:title>
      <c:tx>
        <c:rich>
          <a:bodyPr rot="0" spcFirstLastPara="1" vertOverflow="ellipsis" vert="horz" wrap="square" anchor="ctr" anchorCtr="1"/>
          <a:lstStyle/>
          <a:p>
            <a:pPr algn="ctr" rtl="0">
              <a:defRPr lang="en-US" sz="1080" b="1" i="0" u="none" strike="noStrike" kern="1200" cap="all" spc="120" normalizeH="0" baseline="0">
                <a:solidFill>
                  <a:schemeClr val="tx1">
                    <a:lumMod val="65000"/>
                    <a:lumOff val="35000"/>
                  </a:schemeClr>
                </a:solidFill>
                <a:latin typeface="+mn-lt"/>
                <a:ea typeface="+mn-ea"/>
                <a:cs typeface="+mn-cs"/>
              </a:defRPr>
            </a:pPr>
            <a:r>
              <a:rPr lang="en-IN"/>
              <a:t>RFT Report</a:t>
            </a:r>
          </a:p>
        </c:rich>
      </c:tx>
      <c:overlay val="0"/>
      <c:spPr>
        <a:noFill/>
        <a:ln>
          <a:noFill/>
        </a:ln>
        <a:effectLst/>
      </c:spPr>
      <c:txPr>
        <a:bodyPr rot="0" spcFirstLastPara="1" vertOverflow="ellipsis" vert="horz" wrap="square" anchor="ctr" anchorCtr="1"/>
        <a:lstStyle/>
        <a:p>
          <a:pPr algn="ctr" rtl="0">
            <a:defRPr lang="en-US" sz="108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'Different RFT1'!$A$3</c:f>
              <c:strCache>
                <c:ptCount val="1"/>
                <c:pt idx="0">
                  <c:v>RFT FPI</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'Different RFT1'!$A$4</c:f>
              <c:strCache>
                <c:ptCount val="1"/>
                <c:pt idx="0">
                  <c:v>Total</c:v>
                </c:pt>
              </c:strCache>
            </c:strRef>
          </c:cat>
          <c:val>
            <c:numRef>
              <c:f>'Different RFT1'!$A$4</c:f>
              <c:numCache>
                <c:formatCode>0%</c:formatCode>
                <c:ptCount val="1"/>
                <c:pt idx="0">
                  <c:v>0.95403510618348186</c:v>
                </c:pt>
              </c:numCache>
            </c:numRef>
          </c:val>
          <c:extLst>
            <c:ext xmlns:c16="http://schemas.microsoft.com/office/drawing/2014/chart" uri="{C3380CC4-5D6E-409C-BE32-E72D297353CC}">
              <c16:uniqueId val="{00000000-4B9F-4DAD-862B-0EDE12676090}"/>
            </c:ext>
          </c:extLst>
        </c:ser>
        <c:ser>
          <c:idx val="1"/>
          <c:order val="1"/>
          <c:tx>
            <c:strRef>
              <c:f>'Different RFT1'!$B$3</c:f>
              <c:strCache>
                <c:ptCount val="1"/>
                <c:pt idx="0">
                  <c:v>RFT FRI</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'Different RFT1'!$A$4</c:f>
              <c:strCache>
                <c:ptCount val="1"/>
                <c:pt idx="0">
                  <c:v>Total</c:v>
                </c:pt>
              </c:strCache>
            </c:strRef>
          </c:cat>
          <c:val>
            <c:numRef>
              <c:f>'Different RFT1'!$B$4</c:f>
              <c:numCache>
                <c:formatCode>0%</c:formatCode>
                <c:ptCount val="1"/>
                <c:pt idx="0">
                  <c:v>0.97990323076193131</c:v>
                </c:pt>
              </c:numCache>
            </c:numRef>
          </c:val>
          <c:extLst>
            <c:ext xmlns:c16="http://schemas.microsoft.com/office/drawing/2014/chart" uri="{C3380CC4-5D6E-409C-BE32-E72D297353CC}">
              <c16:uniqueId val="{00000001-4B9F-4DAD-862B-0EDE12676090}"/>
            </c:ext>
          </c:extLst>
        </c:ser>
        <c:ser>
          <c:idx val="2"/>
          <c:order val="2"/>
          <c:tx>
            <c:strRef>
              <c:f>'Different RFT1'!$C$3</c:f>
              <c:strCache>
                <c:ptCount val="1"/>
                <c:pt idx="0">
                  <c:v>RFT BTP</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'Different RFT1'!$A$4</c:f>
              <c:strCache>
                <c:ptCount val="1"/>
                <c:pt idx="0">
                  <c:v>Total</c:v>
                </c:pt>
              </c:strCache>
            </c:strRef>
          </c:cat>
          <c:val>
            <c:numRef>
              <c:f>'Different RFT1'!$C$4</c:f>
              <c:numCache>
                <c:formatCode>0%</c:formatCode>
                <c:ptCount val="1"/>
                <c:pt idx="0">
                  <c:v>0.96333634029605897</c:v>
                </c:pt>
              </c:numCache>
            </c:numRef>
          </c:val>
          <c:extLst>
            <c:ext xmlns:c16="http://schemas.microsoft.com/office/drawing/2014/chart" uri="{C3380CC4-5D6E-409C-BE32-E72D297353CC}">
              <c16:uniqueId val="{00000002-4B9F-4DAD-862B-0EDE12676090}"/>
            </c:ext>
          </c:extLst>
        </c:ser>
        <c:dLbls>
          <c:dLblPos val="outEnd"/>
          <c:showLegendKey val="0"/>
          <c:showVal val="1"/>
          <c:showCatName val="0"/>
          <c:showSerName val="0"/>
          <c:showPercent val="0"/>
          <c:showBubbleSize val="0"/>
        </c:dLbls>
        <c:gapWidth val="175"/>
        <c:overlap val="-27"/>
        <c:axId val="1785113903"/>
        <c:axId val="1785127823"/>
      </c:barChart>
      <c:catAx>
        <c:axId val="178511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785127823"/>
        <c:crosses val="autoZero"/>
        <c:auto val="1"/>
        <c:lblAlgn val="ctr"/>
        <c:lblOffset val="100"/>
        <c:noMultiLvlLbl val="0"/>
      </c:catAx>
      <c:valAx>
        <c:axId val="17851278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78511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22860</xdr:colOff>
      <xdr:row>6</xdr:row>
      <xdr:rowOff>41910</xdr:rowOff>
    </xdr:from>
    <xdr:to>
      <xdr:col>11</xdr:col>
      <xdr:colOff>327660</xdr:colOff>
      <xdr:row>21</xdr:row>
      <xdr:rowOff>41910</xdr:rowOff>
    </xdr:to>
    <xdr:graphicFrame macro="">
      <xdr:nvGraphicFramePr>
        <xdr:cNvPr id="2" name="Chart 1">
          <a:extLst>
            <a:ext uri="{FF2B5EF4-FFF2-40B4-BE49-F238E27FC236}">
              <a16:creationId xmlns:a16="http://schemas.microsoft.com/office/drawing/2014/main" id="{86EF486A-CAE7-26A7-D65F-2399372BF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4</xdr:row>
      <xdr:rowOff>144780</xdr:rowOff>
    </xdr:from>
    <xdr:to>
      <xdr:col>6</xdr:col>
      <xdr:colOff>480060</xdr:colOff>
      <xdr:row>19</xdr:row>
      <xdr:rowOff>137160</xdr:rowOff>
    </xdr:to>
    <xdr:graphicFrame macro="">
      <xdr:nvGraphicFramePr>
        <xdr:cNvPr id="2" name="Chart 1">
          <a:extLst>
            <a:ext uri="{FF2B5EF4-FFF2-40B4-BE49-F238E27FC236}">
              <a16:creationId xmlns:a16="http://schemas.microsoft.com/office/drawing/2014/main" id="{877F8BB1-467C-42EA-8E15-014331ED6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152400</xdr:colOff>
      <xdr:row>4</xdr:row>
      <xdr:rowOff>137160</xdr:rowOff>
    </xdr:from>
    <xdr:to>
      <xdr:col>21</xdr:col>
      <xdr:colOff>152400</xdr:colOff>
      <xdr:row>10</xdr:row>
      <xdr:rowOff>160019</xdr:rowOff>
    </xdr:to>
    <mc:AlternateContent xmlns:mc="http://schemas.openxmlformats.org/markup-compatibility/2006">
      <mc:Choice xmlns:a14="http://schemas.microsoft.com/office/drawing/2010/main" Requires="a14">
        <xdr:graphicFrame macro="">
          <xdr:nvGraphicFramePr>
            <xdr:cNvPr id="6" name="Status ">
              <a:extLst>
                <a:ext uri="{FF2B5EF4-FFF2-40B4-BE49-F238E27FC236}">
                  <a16:creationId xmlns:a16="http://schemas.microsoft.com/office/drawing/2014/main" id="{32CAEB7A-2585-1499-4E13-18BC7FA8A33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
            </a:graphicData>
          </a:graphic>
        </xdr:graphicFrame>
      </mc:Choice>
      <mc:Fallback>
        <xdr:sp macro="" textlink="">
          <xdr:nvSpPr>
            <xdr:cNvPr id="0" name=""/>
            <xdr:cNvSpPr>
              <a:spLocks noTextEdit="1"/>
            </xdr:cNvSpPr>
          </xdr:nvSpPr>
          <xdr:spPr>
            <a:xfrm>
              <a:off x="11125200" y="868680"/>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30480</xdr:colOff>
      <xdr:row>20</xdr:row>
      <xdr:rowOff>83820</xdr:rowOff>
    </xdr:from>
    <xdr:to>
      <xdr:col>7</xdr:col>
      <xdr:colOff>556260</xdr:colOff>
      <xdr:row>26</xdr:row>
      <xdr:rowOff>0</xdr:rowOff>
    </xdr:to>
    <xdr:sp macro="" textlink="">
      <xdr:nvSpPr>
        <xdr:cNvPr id="5" name="Rectangle 4">
          <a:extLst>
            <a:ext uri="{FF2B5EF4-FFF2-40B4-BE49-F238E27FC236}">
              <a16:creationId xmlns:a16="http://schemas.microsoft.com/office/drawing/2014/main" id="{66E42BBB-9E48-8CB4-A693-E2093F7AAE50}"/>
            </a:ext>
          </a:extLst>
        </xdr:cNvPr>
        <xdr:cNvSpPr/>
      </xdr:nvSpPr>
      <xdr:spPr>
        <a:xfrm>
          <a:off x="1859280" y="3741420"/>
          <a:ext cx="2964180" cy="1013460"/>
        </a:xfrm>
        <a:prstGeom prst="rect">
          <a:avLst/>
        </a:prstGeom>
        <a:solidFill>
          <a:sysClr val="window" lastClr="FFFFFF"/>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US" sz="1600" b="1" i="0" u="none" strike="noStrike">
              <a:solidFill>
                <a:sysClr val="windowText" lastClr="000000"/>
              </a:solidFill>
              <a:latin typeface="Calibri"/>
              <a:ea typeface="Calibri"/>
              <a:cs typeface="Calibri"/>
            </a:rPr>
            <a:t>Status On Track</a:t>
          </a:r>
          <a:endParaRPr lang="en-IN" sz="1600" b="1" i="0" u="none" strike="noStrike">
            <a:solidFill>
              <a:sysClr val="windowText" lastClr="000000"/>
            </a:solidFill>
            <a:latin typeface="Calibri"/>
            <a:ea typeface="Calibri"/>
            <a:cs typeface="Calibri"/>
          </a:endParaRPr>
        </a:p>
        <a:p>
          <a:pPr marL="0" indent="0" algn="ctr"/>
          <a:endParaRPr lang="en-IN" sz="1600" b="1" i="0" u="none" strike="noStrike">
            <a:solidFill>
              <a:sysClr val="windowText" lastClr="000000"/>
            </a:solidFill>
            <a:latin typeface="Calibri"/>
            <a:ea typeface="Calibri"/>
            <a:cs typeface="Calibri"/>
          </a:endParaRPr>
        </a:p>
        <a:p>
          <a:pPr marL="0" indent="0" algn="ctr"/>
          <a:endParaRPr lang="en-IN" sz="1600" b="1" i="0" u="none" strike="noStrike">
            <a:solidFill>
              <a:sysClr val="windowText" lastClr="000000"/>
            </a:solidFill>
            <a:latin typeface="Calibri"/>
            <a:ea typeface="Calibri"/>
            <a:cs typeface="Calibri"/>
          </a:endParaRPr>
        </a:p>
      </xdr:txBody>
    </xdr:sp>
    <xdr:clientData/>
  </xdr:twoCellAnchor>
  <xdr:twoCellAnchor>
    <xdr:from>
      <xdr:col>6</xdr:col>
      <xdr:colOff>556260</xdr:colOff>
      <xdr:row>4</xdr:row>
      <xdr:rowOff>152400</xdr:rowOff>
    </xdr:from>
    <xdr:to>
      <xdr:col>14</xdr:col>
      <xdr:colOff>251460</xdr:colOff>
      <xdr:row>19</xdr:row>
      <xdr:rowOff>152400</xdr:rowOff>
    </xdr:to>
    <xdr:graphicFrame macro="">
      <xdr:nvGraphicFramePr>
        <xdr:cNvPr id="9" name="Chart 8">
          <a:extLst>
            <a:ext uri="{FF2B5EF4-FFF2-40B4-BE49-F238E27FC236}">
              <a16:creationId xmlns:a16="http://schemas.microsoft.com/office/drawing/2014/main" id="{1832E38B-4A7B-4371-8B75-B6FD0C01B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53340</xdr:colOff>
      <xdr:row>22</xdr:row>
      <xdr:rowOff>106680</xdr:rowOff>
    </xdr:from>
    <xdr:ext cx="2918460" cy="594360"/>
    <xdr:sp macro="" textlink="'Reference for KPI card'!$D$3">
      <xdr:nvSpPr>
        <xdr:cNvPr id="3" name="TextBox 2">
          <a:extLst>
            <a:ext uri="{FF2B5EF4-FFF2-40B4-BE49-F238E27FC236}">
              <a16:creationId xmlns:a16="http://schemas.microsoft.com/office/drawing/2014/main" id="{0F09F2A1-2477-5B27-4923-A19139D1972D}"/>
            </a:ext>
          </a:extLst>
        </xdr:cNvPr>
        <xdr:cNvSpPr txBox="1"/>
      </xdr:nvSpPr>
      <xdr:spPr>
        <a:xfrm>
          <a:off x="1882140" y="4130040"/>
          <a:ext cx="2918460" cy="5943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877EE0B-42DE-4643-ABF5-EF0D9D6C9C2A}" type="TxLink">
            <a:rPr lang="en-US" sz="1400" b="1" i="0" u="none" strike="noStrike">
              <a:solidFill>
                <a:srgbClr val="000000"/>
              </a:solidFill>
              <a:latin typeface="Calibri"/>
              <a:ea typeface="Calibri"/>
              <a:cs typeface="Calibri"/>
            </a:rPr>
            <a:pPr algn="ctr"/>
            <a:t>5</a:t>
          </a:fld>
          <a:endParaRPr lang="en-IN" sz="1400" b="1"/>
        </a:p>
      </xdr:txBody>
    </xdr:sp>
    <xdr:clientData/>
  </xdr:oneCellAnchor>
  <xdr:twoCellAnchor>
    <xdr:from>
      <xdr:col>8</xdr:col>
      <xdr:colOff>7620</xdr:colOff>
      <xdr:row>20</xdr:row>
      <xdr:rowOff>76200</xdr:rowOff>
    </xdr:from>
    <xdr:to>
      <xdr:col>12</xdr:col>
      <xdr:colOff>533400</xdr:colOff>
      <xdr:row>25</xdr:row>
      <xdr:rowOff>175260</xdr:rowOff>
    </xdr:to>
    <xdr:sp macro="" textlink="">
      <xdr:nvSpPr>
        <xdr:cNvPr id="12" name="Rectangle 11">
          <a:extLst>
            <a:ext uri="{FF2B5EF4-FFF2-40B4-BE49-F238E27FC236}">
              <a16:creationId xmlns:a16="http://schemas.microsoft.com/office/drawing/2014/main" id="{812C1E50-B0B4-4720-947E-9EC44AA642EF}"/>
            </a:ext>
          </a:extLst>
        </xdr:cNvPr>
        <xdr:cNvSpPr/>
      </xdr:nvSpPr>
      <xdr:spPr>
        <a:xfrm>
          <a:off x="4884420" y="3733800"/>
          <a:ext cx="2964180" cy="1013460"/>
        </a:xfrm>
        <a:prstGeom prst="rect">
          <a:avLst/>
        </a:prstGeom>
        <a:solidFill>
          <a:sysClr val="window" lastClr="FFFFFF"/>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US" sz="1600" b="1" i="0" u="none" strike="noStrike">
              <a:solidFill>
                <a:sysClr val="windowText" lastClr="000000"/>
              </a:solidFill>
              <a:latin typeface="Calibri"/>
              <a:ea typeface="Calibri"/>
              <a:cs typeface="Calibri"/>
            </a:rPr>
            <a:t>Status Off Track</a:t>
          </a:r>
          <a:endParaRPr lang="en-IN" sz="1600" b="1" i="0" u="none" strike="noStrike">
            <a:solidFill>
              <a:sysClr val="windowText" lastClr="000000"/>
            </a:solidFill>
            <a:latin typeface="Calibri"/>
            <a:ea typeface="Calibri"/>
            <a:cs typeface="Calibri"/>
          </a:endParaRPr>
        </a:p>
        <a:p>
          <a:pPr marL="0" indent="0" algn="ctr"/>
          <a:endParaRPr lang="en-IN" sz="1600" b="1" i="0" u="none" strike="noStrike">
            <a:solidFill>
              <a:sysClr val="windowText" lastClr="000000"/>
            </a:solidFill>
            <a:latin typeface="Calibri"/>
            <a:ea typeface="Calibri"/>
            <a:cs typeface="Calibri"/>
          </a:endParaRPr>
        </a:p>
        <a:p>
          <a:pPr marL="0" indent="0" algn="ctr"/>
          <a:endParaRPr lang="en-IN" sz="1600" b="1" i="0" u="none" strike="noStrike">
            <a:solidFill>
              <a:sysClr val="windowText" lastClr="000000"/>
            </a:solidFill>
            <a:latin typeface="Calibri"/>
            <a:ea typeface="Calibri"/>
            <a:cs typeface="Calibri"/>
          </a:endParaRPr>
        </a:p>
      </xdr:txBody>
    </xdr:sp>
    <xdr:clientData/>
  </xdr:twoCellAnchor>
  <xdr:oneCellAnchor>
    <xdr:from>
      <xdr:col>8</xdr:col>
      <xdr:colOff>22860</xdr:colOff>
      <xdr:row>22</xdr:row>
      <xdr:rowOff>106680</xdr:rowOff>
    </xdr:from>
    <xdr:ext cx="2926080" cy="579120"/>
    <xdr:sp macro="" textlink="'Reference for KPI card'!$C$3">
      <xdr:nvSpPr>
        <xdr:cNvPr id="4" name="TextBox 3">
          <a:extLst>
            <a:ext uri="{FF2B5EF4-FFF2-40B4-BE49-F238E27FC236}">
              <a16:creationId xmlns:a16="http://schemas.microsoft.com/office/drawing/2014/main" id="{3285D701-77AB-6BDB-01CA-42E9EDF811D5}"/>
            </a:ext>
          </a:extLst>
        </xdr:cNvPr>
        <xdr:cNvSpPr txBox="1"/>
      </xdr:nvSpPr>
      <xdr:spPr>
        <a:xfrm>
          <a:off x="4899660" y="4130040"/>
          <a:ext cx="2926080" cy="5791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B4A4851-6914-484F-A18E-D8CCEF1D014B}" type="TxLink">
            <a:rPr lang="en-US" sz="1400" b="1" i="0" u="none" strike="noStrike">
              <a:solidFill>
                <a:srgbClr val="000000"/>
              </a:solidFill>
              <a:latin typeface="Calibri"/>
              <a:ea typeface="Calibri"/>
              <a:cs typeface="Calibri"/>
            </a:rPr>
            <a:pPr algn="ctr"/>
            <a:t>1</a:t>
          </a:fld>
          <a:endParaRPr lang="en-IN" sz="1400" b="1">
            <a:solidFill>
              <a:schemeClr val="bg1"/>
            </a:solidFill>
          </a:endParaRPr>
        </a:p>
      </xdr:txBody>
    </xdr:sp>
    <xdr:clientData/>
  </xdr:oneCellAnchor>
  <xdr:twoCellAnchor editAs="absolute">
    <xdr:from>
      <xdr:col>14</xdr:col>
      <xdr:colOff>533400</xdr:colOff>
      <xdr:row>4</xdr:row>
      <xdr:rowOff>129541</xdr:rowOff>
    </xdr:from>
    <xdr:to>
      <xdr:col>17</xdr:col>
      <xdr:colOff>533400</xdr:colOff>
      <xdr:row>10</xdr:row>
      <xdr:rowOff>129541</xdr:rowOff>
    </xdr:to>
    <mc:AlternateContent xmlns:mc="http://schemas.openxmlformats.org/markup-compatibility/2006">
      <mc:Choice xmlns:a14="http://schemas.microsoft.com/office/drawing/2010/main" Requires="a14">
        <xdr:graphicFrame macro="">
          <xdr:nvGraphicFramePr>
            <xdr:cNvPr id="11" name="Month ">
              <a:extLst>
                <a:ext uri="{FF2B5EF4-FFF2-40B4-BE49-F238E27FC236}">
                  <a16:creationId xmlns:a16="http://schemas.microsoft.com/office/drawing/2014/main" id="{86F3976A-41F0-A0C0-6542-1E6E584155E8}"/>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9067800" y="86106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396240</xdr:colOff>
      <xdr:row>13</xdr:row>
      <xdr:rowOff>167640</xdr:rowOff>
    </xdr:from>
    <xdr:to>
      <xdr:col>22</xdr:col>
      <xdr:colOff>541020</xdr:colOff>
      <xdr:row>26</xdr:row>
      <xdr:rowOff>129540</xdr:rowOff>
    </xdr:to>
    <xdr:graphicFrame macro="">
      <xdr:nvGraphicFramePr>
        <xdr:cNvPr id="7" name="Chart 6">
          <a:extLst>
            <a:ext uri="{FF2B5EF4-FFF2-40B4-BE49-F238E27FC236}">
              <a16:creationId xmlns:a16="http://schemas.microsoft.com/office/drawing/2014/main" id="{B95B0144-F59D-4353-AA2A-042D5A8DD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183.451676157405" createdVersion="8" refreshedVersion="8" minRefreshableVersion="3" recordCount="9" xr:uid="{730ADE8A-FCA3-4E9C-A045-E0C61D580DB1}">
  <cacheSource type="worksheet">
    <worksheetSource name="Table1"/>
  </cacheSource>
  <cacheFields count="12">
    <cacheField name="Month " numFmtId="0">
      <sharedItems containsDate="1" containsBlank="1" containsMixedTypes="1" minDate="2026-07-01T00:00:00" maxDate="2026-12-02T00:00:00" count="9">
        <m/>
        <d v="2026-07-01T00:00:00"/>
        <d v="2026-08-01T00:00:00"/>
        <d v="2026-09-01T00:00:00"/>
        <d v="2026-10-01T00:00:00"/>
        <d v="2026-11-01T00:00:00"/>
        <d v="2026-12-01T00:00:00"/>
        <s v="total"/>
        <s v="Months" u="1"/>
      </sharedItems>
    </cacheField>
    <cacheField name="KPI Indicator  " numFmtId="0">
      <sharedItems containsBlank="1" containsMixedTypes="1" containsNumber="1" containsInteger="1" minValue="26" maxValue="105"/>
    </cacheField>
    <cacheField name="Column1" numFmtId="0">
      <sharedItems containsBlank="1" containsMixedTypes="1" containsNumber="1" containsInteger="1" minValue="1248" maxValue="8131"/>
    </cacheField>
    <cacheField name="Column2" numFmtId="0">
      <sharedItems containsBlank="1" containsMixedTypes="1" containsNumber="1" minValue="0.92919757248819956" maxValue="0.98176718092566617" count="9">
        <m/>
        <s v="RFT FPI"/>
        <n v="0.95833333333333337"/>
        <n v="0.93307984790874521"/>
        <n v="0.97358197358197363"/>
        <n v="0.94825072886297379"/>
        <n v="0.98176718092566617"/>
        <n v="0.92919757248819956"/>
        <n v="0.95403510618348186"/>
      </sharedItems>
    </cacheField>
    <cacheField name="Column3" numFmtId="0">
      <sharedItems containsMixedTypes="1" containsNumber="1" containsInteger="1" minValue="10" maxValue="150"/>
    </cacheField>
    <cacheField name="Column4" numFmtId="0">
      <sharedItems containsBlank="1" containsMixedTypes="1" containsNumber="1" containsInteger="1" minValue="1160" maxValue="7360"/>
    </cacheField>
    <cacheField name="Column5" numFmtId="0">
      <sharedItems containsBlank="1" containsMixedTypes="1" containsNumber="1" minValue="0.96818181818181814" maxValue="0.9916666666666667"/>
    </cacheField>
    <cacheField name="Column6" numFmtId="0">
      <sharedItems containsMixedTypes="1" containsNumber="1" containsInteger="1" minValue="4" maxValue="77"/>
    </cacheField>
    <cacheField name="Column7" numFmtId="0">
      <sharedItems containsBlank="1" containsMixedTypes="1" containsNumber="1" containsInteger="1" minValue="115" maxValue="6235"/>
    </cacheField>
    <cacheField name="Column8" numFmtId="0">
      <sharedItems containsBlank="1" containsMixedTypes="1" containsNumber="1" minValue="0.82608695652173914" maxValue="0.99663865546218489"/>
    </cacheField>
    <cacheField name="Final _x000a_RFT Result " numFmtId="0">
      <sharedItems containsString="0" containsBlank="1" containsNumber="1" minValue="0.53567709366610428" maxValue="0.95576940388123466"/>
    </cacheField>
    <cacheField name="Status " numFmtId="0">
      <sharedItems containsBlank="1" containsMixedTypes="1" containsNumber="1" containsInteger="1" minValue="0" maxValue="0" count="4">
        <m/>
        <s v="On Track"/>
        <s v="Off Track"/>
        <n v="0"/>
      </sharedItems>
    </cacheField>
  </cacheFields>
  <extLst>
    <ext xmlns:x14="http://schemas.microsoft.com/office/spreadsheetml/2009/9/main" uri="{725AE2AE-9491-48be-B2B4-4EB974FC3084}">
      <x14:pivotCacheDefinition pivotCacheId="962552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s v="RFT EOL "/>
    <m/>
    <x v="0"/>
    <s v="RFT FRI"/>
    <m/>
    <m/>
    <s v="RFT AQL"/>
    <m/>
    <m/>
    <m/>
    <x v="0"/>
  </r>
  <r>
    <x v="0"/>
    <s v="Qty Rejected FPI"/>
    <s v="Qty Delivered "/>
    <x v="1"/>
    <s v="Qty of Batch Rejected "/>
    <s v="Qty Inspected "/>
    <s v="RFT "/>
    <s v="Qty of Batch Rejected AQL"/>
    <s v="Qty inspected AQL"/>
    <s v="RFT BTP"/>
    <m/>
    <x v="0"/>
  </r>
  <r>
    <x v="1"/>
    <n v="52"/>
    <n v="1248"/>
    <x v="2"/>
    <n v="21"/>
    <n v="1180"/>
    <n v="0.98220338983050848"/>
    <n v="8"/>
    <n v="1170"/>
    <n v="0.99316239316239319"/>
    <n v="0.90569141382599139"/>
    <x v="1"/>
  </r>
  <r>
    <x v="2"/>
    <n v="88"/>
    <n v="1315"/>
    <x v="3"/>
    <n v="35"/>
    <n v="1220"/>
    <n v="0.97131147540983609"/>
    <n v="15"/>
    <n v="1200"/>
    <n v="0.98750000000000004"/>
    <n v="0.84770971853787658"/>
    <x v="1"/>
  </r>
  <r>
    <x v="3"/>
    <n v="34"/>
    <n v="1287"/>
    <x v="4"/>
    <n v="14"/>
    <n v="1160"/>
    <n v="0.98793103448275865"/>
    <n v="20"/>
    <n v="115"/>
    <n v="0.82608695652173914"/>
    <n v="0.53567709366610428"/>
    <x v="2"/>
  </r>
  <r>
    <x v="4"/>
    <n v="71"/>
    <n v="1372"/>
    <x v="5"/>
    <n v="28"/>
    <n v="1280"/>
    <n v="0.97812500000000002"/>
    <n v="12"/>
    <n v="1260"/>
    <n v="0.99047619047619051"/>
    <n v="0.88154406183427614"/>
    <x v="1"/>
  </r>
  <r>
    <x v="5"/>
    <n v="26"/>
    <n v="1426"/>
    <x v="6"/>
    <n v="10"/>
    <n v="1200"/>
    <n v="0.9916666666666667"/>
    <n v="4"/>
    <n v="1190"/>
    <n v="0.99663865546218489"/>
    <n v="0.95576940388123466"/>
    <x v="1"/>
  </r>
  <r>
    <x v="6"/>
    <n v="105"/>
    <n v="1483"/>
    <x v="7"/>
    <n v="42"/>
    <n v="1320"/>
    <n v="0.96818181818181814"/>
    <n v="18"/>
    <n v="1300"/>
    <n v="0.98615384615384616"/>
    <n v="0.83532586752239846"/>
    <x v="1"/>
  </r>
  <r>
    <x v="7"/>
    <m/>
    <n v="8131"/>
    <x v="8"/>
    <n v="150"/>
    <n v="7360"/>
    <n v="0.9799032307619312"/>
    <n v="77"/>
    <n v="6235"/>
    <n v="0.96333634029605897"/>
    <n v="0.826952926544647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C56FB-940E-45E7-A0F7-821119FF4B4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4" firstHeaderRow="0" firstDataRow="1" firstDataCol="0"/>
  <pivotFields count="12">
    <pivotField showAll="0">
      <items count="10">
        <item m="1" x="8"/>
        <item h="1" x="7"/>
        <item x="1"/>
        <item x="2"/>
        <item x="3"/>
        <item x="4"/>
        <item x="5"/>
        <item x="6"/>
        <item h="1" x="0"/>
        <item t="default"/>
      </items>
    </pivotField>
    <pivotField showAll="0"/>
    <pivotField showAll="0"/>
    <pivotField dataField="1" showAll="0">
      <items count="10">
        <item x="7"/>
        <item x="3"/>
        <item x="5"/>
        <item x="8"/>
        <item x="2"/>
        <item x="4"/>
        <item x="6"/>
        <item x="1"/>
        <item x="0"/>
        <item t="default"/>
      </items>
    </pivotField>
    <pivotField showAll="0"/>
    <pivotField showAll="0"/>
    <pivotField dataField="1" showAll="0"/>
    <pivotField showAll="0"/>
    <pivotField showAll="0"/>
    <pivotField dataField="1" showAll="0"/>
    <pivotField showAll="0"/>
    <pivotField showAll="0"/>
  </pivotFields>
  <rowItems count="1">
    <i/>
  </rowItems>
  <colFields count="1">
    <field x="-2"/>
  </colFields>
  <colItems count="3">
    <i>
      <x/>
    </i>
    <i i="1">
      <x v="1"/>
    </i>
    <i i="2">
      <x v="2"/>
    </i>
  </colItems>
  <dataFields count="3">
    <dataField name="RFT FPI" fld="3" subtotal="average" baseField="0" baseItem="2" numFmtId="9"/>
    <dataField name="RFT FRI" fld="6" subtotal="average" baseField="0" baseItem="2" numFmtId="9"/>
    <dataField name="RFT BTP" fld="9" subtotal="average" baseField="0" baseItem="2" numFmtId="9"/>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38C5AB-AC6E-4D21-8C53-F8927B965E72}"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12">
    <pivotField axis="axisRow" showAll="0">
      <items count="10">
        <item x="1"/>
        <item x="2"/>
        <item x="3"/>
        <item x="4"/>
        <item x="5"/>
        <item x="6"/>
        <item h="1" x="0"/>
        <item h="1" x="7"/>
        <item h="1" m="1" x="8"/>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5">
        <item x="0"/>
        <item x="1"/>
        <item x="3"/>
        <item x="2"/>
        <item t="default"/>
      </items>
    </pivotField>
  </pivotFields>
  <rowFields count="1">
    <field x="0"/>
  </rowFields>
  <rowItems count="7">
    <i>
      <x/>
    </i>
    <i>
      <x v="1"/>
    </i>
    <i>
      <x v="2"/>
    </i>
    <i>
      <x v="3"/>
    </i>
    <i>
      <x v="4"/>
    </i>
    <i>
      <x v="5"/>
    </i>
    <i t="grand">
      <x/>
    </i>
  </rowItems>
  <colFields count="1">
    <field x="11"/>
  </colFields>
  <colItems count="3">
    <i>
      <x v="1"/>
    </i>
    <i>
      <x v="3"/>
    </i>
    <i t="grand">
      <x/>
    </i>
  </colItems>
  <dataFields count="1">
    <dataField name="Count of Status " fld="11" subtotal="count" baseField="0" baseItem="0"/>
  </dataFields>
  <formats count="1">
    <format dxfId="0">
      <pivotArea dataOnly="0" labelOnly="1" fieldPosition="0">
        <references count="1">
          <reference field="0"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3618E-FE66-49D9-9EBA-749B6088DC62}"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4" firstHeaderRow="0" firstDataRow="1" firstDataCol="0"/>
  <pivotFields count="12">
    <pivotField showAll="0">
      <items count="10">
        <item h="1" m="1" x="8"/>
        <item h="1" x="7"/>
        <item x="1"/>
        <item x="2"/>
        <item x="3"/>
        <item x="4"/>
        <item x="5"/>
        <item x="6"/>
        <item h="1" x="0"/>
        <item t="default"/>
      </items>
    </pivotField>
    <pivotField showAll="0"/>
    <pivotField dataField="1" showAll="0"/>
    <pivotField showAll="0"/>
    <pivotField dataField="1" showAll="0"/>
    <pivotField dataField="1" showAll="0"/>
    <pivotField showAll="0"/>
    <pivotField showAll="0"/>
    <pivotField showAll="0"/>
    <pivotField showAll="0"/>
    <pivotField showAll="0"/>
    <pivotField showAll="0">
      <items count="5">
        <item x="3"/>
        <item x="2"/>
        <item x="1"/>
        <item x="0"/>
        <item t="default"/>
      </items>
    </pivotField>
  </pivotFields>
  <rowItems count="1">
    <i/>
  </rowItems>
  <colFields count="1">
    <field x="-2"/>
  </colFields>
  <colItems count="3">
    <i>
      <x/>
    </i>
    <i i="1">
      <x v="1"/>
    </i>
    <i i="2">
      <x v="2"/>
    </i>
  </colItems>
  <dataFields count="3">
    <dataField name="Qty Delivered " fld="2" baseField="0" baseItem="0"/>
    <dataField name="Qty Inspected " fld="5" baseField="0" baseItem="0"/>
    <dataField name="Qty of Batch Rejected " fld="4"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3DED9-D785-42E0-959D-1D55A88FE628}" name="Month Comparis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2">
    <pivotField axis="axisRow" showAll="0">
      <items count="10">
        <item h="1" m="1" x="8"/>
        <item h="1" x="7"/>
        <item x="1"/>
        <item x="2"/>
        <item x="3"/>
        <item x="4"/>
        <item x="5"/>
        <item x="6"/>
        <item h="1" x="0"/>
        <item t="default"/>
      </items>
    </pivotField>
    <pivotField showAll="0"/>
    <pivotField showAll="0"/>
    <pivotField showAll="0"/>
    <pivotField showAll="0"/>
    <pivotField showAll="0"/>
    <pivotField showAll="0"/>
    <pivotField showAll="0"/>
    <pivotField showAll="0"/>
    <pivotField showAll="0"/>
    <pivotField dataField="1" showAll="0"/>
    <pivotField showAll="0">
      <items count="5">
        <item x="3"/>
        <item x="2"/>
        <item x="1"/>
        <item x="0"/>
        <item t="default"/>
      </items>
    </pivotField>
  </pivotFields>
  <rowFields count="1">
    <field x="0"/>
  </rowFields>
  <rowItems count="7">
    <i>
      <x v="2"/>
    </i>
    <i>
      <x v="3"/>
    </i>
    <i>
      <x v="4"/>
    </i>
    <i>
      <x v="5"/>
    </i>
    <i>
      <x v="6"/>
    </i>
    <i>
      <x v="7"/>
    </i>
    <i t="grand">
      <x/>
    </i>
  </rowItems>
  <colItems count="1">
    <i/>
  </colItems>
  <dataFields count="1">
    <dataField name="Average of Final " fld="10" subtotal="average" baseField="0" baseItem="0" numFmtId="9"/>
  </dataFields>
  <formats count="2">
    <format dxfId="1">
      <pivotArea outline="0" fieldPosition="0">
        <references count="1">
          <reference field="4294967294" count="1">
            <x v="0"/>
          </reference>
        </references>
      </pivotArea>
    </format>
    <format dxfId="2">
      <pivotArea dataOnly="0" labelOnly="1" fieldPosition="0">
        <references count="1">
          <reference field="0" count="0"/>
        </references>
      </pivotArea>
    </format>
  </formats>
  <chartFormats count="2">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85A57BB-19D7-4291-B35C-D7A57283A42F}" sourceName="Status ">
  <pivotTables>
    <pivotTable tabId="6" name="Month Comparison"/>
    <pivotTable tabId="10" name="PivotTable8"/>
    <pivotTable tabId="20" name="PivotTable17"/>
  </pivotTables>
  <data>
    <tabular pivotCacheId="962552794">
      <items count="4">
        <i x="2" s="1"/>
        <i x="1" s="1"/>
        <i x="3"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632906-DC39-4D5A-9F8E-80655B26DDF7}" sourceName="Month ">
  <pivotTables>
    <pivotTable tabId="6" name="Month Comparison"/>
    <pivotTable tabId="20" name="PivotTable17"/>
    <pivotTable tabId="10" name="PivotTable8"/>
  </pivotTables>
  <data>
    <tabular pivotCacheId="962552794">
      <items count="9">
        <i x="7"/>
        <i x="1" s="1"/>
        <i x="2" s="1"/>
        <i x="3" s="1"/>
        <i x="4" s="1"/>
        <i x="5" s="1"/>
        <i x="6" s="1"/>
        <i x="0"/>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 xr10:uid="{D61D69E6-3C34-458C-A320-119178D34199}" cache="Slicer_Status" caption="Status " lockedPosition="1" rowHeight="234950"/>
  <slicer name="Month " xr10:uid="{0FD13C61-CBC0-4383-B555-537D7DAC5BE6}" cache="Slicer_Month" caption="Month " startItem="1"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75173-70FB-4551-A2B8-6DAC8EAD8D4A}" name="Table1" displayName="Table1" ref="A5:L14" headerRowDxfId="37" headerRowBorderDxfId="36" tableBorderDxfId="35" totalsRowBorderDxfId="34">
  <autoFilter ref="A5:L14" xr:uid="{33875173-70FB-4551-A2B8-6DAC8EAD8D4A}"/>
  <tableColumns count="12">
    <tableColumn id="1" xr3:uid="{34624657-E632-42AA-B5BA-DDEC0EACF31F}" name="Month " totalsRowLabel="Total" dataDxfId="33" totalsRowDxfId="32"/>
    <tableColumn id="2" xr3:uid="{C2DCADC3-7B70-4575-B989-9E7AEE1D6D24}" name="KPI Indicator  " totalsRowFunction="sum" dataDxfId="31" totalsRowDxfId="30"/>
    <tableColumn id="3" xr3:uid="{FF77A8E6-FBE2-4DCE-94BF-B697C6D3E694}" name="Column1" totalsRowFunction="sum" dataDxfId="29" totalsRowDxfId="28"/>
    <tableColumn id="4" xr3:uid="{137FFED0-71E9-4E1E-8626-0B9B1D5E0B1D}" name="Column2" dataDxfId="27" totalsRowDxfId="26" dataCellStyle="Percent">
      <calculatedColumnFormula>1-(B6/C6)</calculatedColumnFormula>
    </tableColumn>
    <tableColumn id="5" xr3:uid="{FD270A0B-C9A0-4708-A193-CE5FDE1EA1D3}" name="Column3" totalsRowFunction="sum" dataDxfId="25" totalsRowDxfId="24"/>
    <tableColumn id="6" xr3:uid="{49BF09F2-1546-4241-9EB0-277AF64C241F}" name="Column4" dataDxfId="23" totalsRowDxfId="22"/>
    <tableColumn id="7" xr3:uid="{EF53B7AA-7111-4620-98F7-FEEACF1E2A94}" name="Column5" dataDxfId="21" totalsRowDxfId="20" dataCellStyle="Percent">
      <calculatedColumnFormula>1-(E6/F6)</calculatedColumnFormula>
    </tableColumn>
    <tableColumn id="8" xr3:uid="{5718D5B6-B3C3-4C14-A9BB-526580116C80}" name="Column6" dataDxfId="19" totalsRowDxfId="18"/>
    <tableColumn id="9" xr3:uid="{4B1BD4C5-6FB3-4723-829E-9DF98FD0C36F}" name="Column7" dataDxfId="17" totalsRowDxfId="16"/>
    <tableColumn id="10" xr3:uid="{3A340F36-76F1-48E0-896D-66E12071B766}" name="Column8" dataDxfId="15" totalsRowDxfId="14" dataCellStyle="Percent">
      <calculatedColumnFormula>1-(H6/I6)</calculatedColumnFormula>
    </tableColumn>
    <tableColumn id="11" xr3:uid="{8AB89FB9-6664-48A6-BEA8-2A7E9AE964C7}" name="Final _x000a_RFT Result " dataDxfId="13" totalsRowDxfId="12" dataCellStyle="Percent">
      <calculatedColumnFormula>D6*G6^2*J6^3</calculatedColumnFormula>
    </tableColumn>
    <tableColumn id="12" xr3:uid="{283D56CB-BD8B-4903-A725-5F3EAC6AC87F}" name="Status " totalsRowFunction="count" dataDxfId="11" totalsRowDxfId="10">
      <calculatedColumnFormula>IF(K6&gt;72%,"On Track","Off Track")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12F3-01D3-44EE-9C61-637D3403826F}">
  <dimension ref="A3:C4"/>
  <sheetViews>
    <sheetView workbookViewId="0">
      <selection activeCell="C3" sqref="C3"/>
    </sheetView>
  </sheetViews>
  <sheetFormatPr defaultRowHeight="14.4" x14ac:dyDescent="0.3"/>
  <cols>
    <col min="1" max="2" width="7" bestFit="1" customWidth="1"/>
    <col min="3" max="3" width="7.6640625" bestFit="1" customWidth="1"/>
    <col min="4" max="4" width="18.33203125" bestFit="1" customWidth="1"/>
  </cols>
  <sheetData>
    <row r="3" spans="1:3" x14ac:dyDescent="0.3">
      <c r="A3" t="s">
        <v>36</v>
      </c>
      <c r="B3" t="s">
        <v>30</v>
      </c>
      <c r="C3" t="s">
        <v>33</v>
      </c>
    </row>
    <row r="4" spans="1:3" x14ac:dyDescent="0.3">
      <c r="A4" s="25">
        <v>0.95403510618348186</v>
      </c>
      <c r="B4" s="25">
        <v>0.97990323076193131</v>
      </c>
      <c r="C4" s="25">
        <v>0.96333634029605897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3D76-7090-4D1E-9643-0F59F0317CBA}">
  <dimension ref="A1:L14"/>
  <sheetViews>
    <sheetView zoomScale="94" zoomScaleNormal="94" workbookViewId="0">
      <pane xSplit="1" topLeftCell="B1" activePane="topRight" state="frozen"/>
      <selection pane="topRight" activeCell="H27" sqref="H27"/>
    </sheetView>
  </sheetViews>
  <sheetFormatPr defaultRowHeight="14.4" x14ac:dyDescent="0.3"/>
  <cols>
    <col min="1" max="1" width="10.21875" customWidth="1"/>
    <col min="2" max="4" width="16.77734375" customWidth="1"/>
    <col min="5" max="5" width="19.21875" customWidth="1"/>
    <col min="6" max="6" width="16.77734375" customWidth="1"/>
    <col min="7" max="7" width="12.88671875" bestFit="1" customWidth="1"/>
    <col min="8" max="8" width="25.33203125" customWidth="1"/>
    <col min="9" max="10" width="16.77734375" customWidth="1"/>
    <col min="11" max="11" width="11.6640625" customWidth="1"/>
    <col min="12" max="12" width="9.44140625" customWidth="1"/>
  </cols>
  <sheetData>
    <row r="1" spans="1:12" ht="15.6" x14ac:dyDescent="0.3">
      <c r="A1" s="2"/>
    </row>
    <row r="2" spans="1:12" x14ac:dyDescent="0.3">
      <c r="A2" s="8" t="s">
        <v>3</v>
      </c>
    </row>
    <row r="3" spans="1:12" ht="14.55" customHeight="1" x14ac:dyDescent="0.3">
      <c r="A3" s="30"/>
      <c r="B3" s="30"/>
      <c r="C3" s="30"/>
      <c r="D3" s="30"/>
      <c r="E3" s="30"/>
      <c r="F3" s="30"/>
      <c r="G3" s="30"/>
      <c r="H3" s="30"/>
      <c r="I3" s="30"/>
      <c r="J3" s="30"/>
      <c r="K3" s="30"/>
      <c r="L3" s="30"/>
    </row>
    <row r="4" spans="1:12" x14ac:dyDescent="0.3">
      <c r="A4" s="10" t="s">
        <v>8</v>
      </c>
    </row>
    <row r="5" spans="1:12" ht="28.8" x14ac:dyDescent="0.3">
      <c r="A5" s="15" t="s">
        <v>1</v>
      </c>
      <c r="B5" s="16" t="s">
        <v>10</v>
      </c>
      <c r="C5" s="16" t="s">
        <v>11</v>
      </c>
      <c r="D5" s="16" t="s">
        <v>12</v>
      </c>
      <c r="E5" s="16" t="s">
        <v>13</v>
      </c>
      <c r="F5" s="16" t="s">
        <v>14</v>
      </c>
      <c r="G5" s="16" t="s">
        <v>15</v>
      </c>
      <c r="H5" s="16" t="s">
        <v>16</v>
      </c>
      <c r="I5" s="16" t="s">
        <v>17</v>
      </c>
      <c r="J5" s="16" t="s">
        <v>18</v>
      </c>
      <c r="K5" s="12" t="s">
        <v>6</v>
      </c>
      <c r="L5" s="17" t="s">
        <v>9</v>
      </c>
    </row>
    <row r="6" spans="1:12" x14ac:dyDescent="0.3">
      <c r="A6" s="13"/>
      <c r="B6" s="5" t="s">
        <v>36</v>
      </c>
      <c r="C6" s="5"/>
      <c r="D6" s="5"/>
      <c r="E6" s="6" t="s">
        <v>30</v>
      </c>
      <c r="F6" s="6"/>
      <c r="G6" s="6"/>
      <c r="H6" s="7" t="s">
        <v>31</v>
      </c>
      <c r="I6" s="7"/>
      <c r="J6" s="7"/>
      <c r="K6" s="3"/>
      <c r="L6" s="14"/>
    </row>
    <row r="7" spans="1:12" x14ac:dyDescent="0.3">
      <c r="A7" s="13"/>
      <c r="B7" s="5" t="s">
        <v>35</v>
      </c>
      <c r="C7" s="5" t="s">
        <v>4</v>
      </c>
      <c r="D7" s="5" t="s">
        <v>36</v>
      </c>
      <c r="E7" s="6" t="s">
        <v>7</v>
      </c>
      <c r="F7" s="6" t="s">
        <v>5</v>
      </c>
      <c r="G7" s="6" t="s">
        <v>0</v>
      </c>
      <c r="H7" s="7" t="s">
        <v>34</v>
      </c>
      <c r="I7" s="7" t="s">
        <v>32</v>
      </c>
      <c r="J7" s="7" t="s">
        <v>33</v>
      </c>
      <c r="K7" s="3"/>
      <c r="L7" s="14"/>
    </row>
    <row r="8" spans="1:12" x14ac:dyDescent="0.3">
      <c r="A8" s="28">
        <v>46204</v>
      </c>
      <c r="B8" s="1">
        <v>52</v>
      </c>
      <c r="C8" s="1">
        <v>1248</v>
      </c>
      <c r="D8" s="11">
        <f>1-(B8/C8)</f>
        <v>0.95833333333333337</v>
      </c>
      <c r="E8" s="1">
        <v>21</v>
      </c>
      <c r="F8" s="1">
        <v>1180</v>
      </c>
      <c r="G8" s="11">
        <f>1-(E8/F8)</f>
        <v>0.98220338983050848</v>
      </c>
      <c r="H8" s="1">
        <v>8</v>
      </c>
      <c r="I8" s="1">
        <v>1170</v>
      </c>
      <c r="J8" s="11">
        <f>1-(H8/I8)</f>
        <v>0.99316239316239319</v>
      </c>
      <c r="K8" s="9">
        <f>D8*G8^2*J8^3</f>
        <v>0.90569141382599139</v>
      </c>
      <c r="L8" s="4" t="str">
        <f>IF(K8&gt;72%,"On Track","Off Track")</f>
        <v>On Track</v>
      </c>
    </row>
    <row r="9" spans="1:12" x14ac:dyDescent="0.3">
      <c r="A9" s="28">
        <v>46235</v>
      </c>
      <c r="B9" s="1">
        <v>88</v>
      </c>
      <c r="C9" s="1">
        <v>1315</v>
      </c>
      <c r="D9" s="11">
        <f>1-(B9/C9)</f>
        <v>0.93307984790874521</v>
      </c>
      <c r="E9" s="1">
        <v>35</v>
      </c>
      <c r="F9" s="1">
        <v>1220</v>
      </c>
      <c r="G9" s="11">
        <f t="shared" ref="G9:G13" si="0">1-(E9/F9)</f>
        <v>0.97131147540983609</v>
      </c>
      <c r="H9" s="1">
        <v>15</v>
      </c>
      <c r="I9" s="1">
        <v>1200</v>
      </c>
      <c r="J9" s="11">
        <f t="shared" ref="J9:J13" si="1">1-(H9/I9)</f>
        <v>0.98750000000000004</v>
      </c>
      <c r="K9" s="9">
        <f>D9*G9^2*J9^3</f>
        <v>0.84770971853787658</v>
      </c>
      <c r="L9" s="4" t="str">
        <f t="shared" ref="L9:L13" si="2">IF(K9&gt;72%,"On Track","Off Track")</f>
        <v>On Track</v>
      </c>
    </row>
    <row r="10" spans="1:12" x14ac:dyDescent="0.3">
      <c r="A10" s="28">
        <v>46266</v>
      </c>
      <c r="B10" s="1">
        <v>34</v>
      </c>
      <c r="C10" s="1">
        <v>1287</v>
      </c>
      <c r="D10" s="11">
        <f t="shared" ref="D10:D13" si="3">1-(B10/C10)</f>
        <v>0.97358197358197363</v>
      </c>
      <c r="E10" s="1">
        <v>14</v>
      </c>
      <c r="F10" s="1">
        <v>1160</v>
      </c>
      <c r="G10" s="11">
        <f t="shared" si="0"/>
        <v>0.98793103448275865</v>
      </c>
      <c r="H10" s="1">
        <v>20</v>
      </c>
      <c r="I10" s="1">
        <v>115</v>
      </c>
      <c r="J10" s="11">
        <f>1-(H10/I10)</f>
        <v>0.82608695652173914</v>
      </c>
      <c r="K10" s="9">
        <f t="shared" ref="K10:K13" si="4">D10*G10^2*J10^3</f>
        <v>0.53567709366610428</v>
      </c>
      <c r="L10" s="4" t="str">
        <f t="shared" si="2"/>
        <v>Off Track</v>
      </c>
    </row>
    <row r="11" spans="1:12" x14ac:dyDescent="0.3">
      <c r="A11" s="28">
        <v>46296</v>
      </c>
      <c r="B11" s="1">
        <v>71</v>
      </c>
      <c r="C11" s="1">
        <v>1372</v>
      </c>
      <c r="D11" s="11">
        <f t="shared" si="3"/>
        <v>0.94825072886297379</v>
      </c>
      <c r="E11" s="1">
        <v>28</v>
      </c>
      <c r="F11" s="1">
        <v>1280</v>
      </c>
      <c r="G11" s="11">
        <f t="shared" si="0"/>
        <v>0.97812500000000002</v>
      </c>
      <c r="H11" s="1">
        <v>12</v>
      </c>
      <c r="I11" s="1">
        <v>1260</v>
      </c>
      <c r="J11" s="11">
        <f t="shared" si="1"/>
        <v>0.99047619047619051</v>
      </c>
      <c r="K11" s="9">
        <f t="shared" si="4"/>
        <v>0.88154406183427614</v>
      </c>
      <c r="L11" s="4" t="str">
        <f t="shared" si="2"/>
        <v>On Track</v>
      </c>
    </row>
    <row r="12" spans="1:12" x14ac:dyDescent="0.3">
      <c r="A12" s="28">
        <v>46327</v>
      </c>
      <c r="B12" s="1">
        <v>26</v>
      </c>
      <c r="C12" s="1">
        <v>1426</v>
      </c>
      <c r="D12" s="11">
        <f t="shared" si="3"/>
        <v>0.98176718092566617</v>
      </c>
      <c r="E12" s="1">
        <v>10</v>
      </c>
      <c r="F12" s="1">
        <v>1200</v>
      </c>
      <c r="G12" s="11">
        <f t="shared" si="0"/>
        <v>0.9916666666666667</v>
      </c>
      <c r="H12" s="1">
        <v>4</v>
      </c>
      <c r="I12" s="1">
        <v>1190</v>
      </c>
      <c r="J12" s="11">
        <f t="shared" si="1"/>
        <v>0.99663865546218489</v>
      </c>
      <c r="K12" s="9">
        <f t="shared" si="4"/>
        <v>0.95576940388123466</v>
      </c>
      <c r="L12" s="4" t="str">
        <f t="shared" si="2"/>
        <v>On Track</v>
      </c>
    </row>
    <row r="13" spans="1:12" x14ac:dyDescent="0.3">
      <c r="A13" s="28">
        <v>46357</v>
      </c>
      <c r="B13" s="19">
        <v>105</v>
      </c>
      <c r="C13" s="19">
        <v>1483</v>
      </c>
      <c r="D13" s="20">
        <f t="shared" si="3"/>
        <v>0.92919757248819956</v>
      </c>
      <c r="E13" s="19">
        <v>42</v>
      </c>
      <c r="F13" s="19">
        <v>1320</v>
      </c>
      <c r="G13" s="20">
        <f t="shared" si="0"/>
        <v>0.96818181818181814</v>
      </c>
      <c r="H13" s="19">
        <v>18</v>
      </c>
      <c r="I13" s="19">
        <v>1300</v>
      </c>
      <c r="J13" s="20">
        <f t="shared" si="1"/>
        <v>0.98615384615384616</v>
      </c>
      <c r="K13" s="21">
        <f t="shared" si="4"/>
        <v>0.83532586752239846</v>
      </c>
      <c r="L13" s="22" t="str">
        <f t="shared" si="2"/>
        <v>On Track</v>
      </c>
    </row>
    <row r="14" spans="1:12" x14ac:dyDescent="0.3">
      <c r="A14" s="18" t="s">
        <v>27</v>
      </c>
      <c r="B14" s="19"/>
      <c r="C14" s="19">
        <f>SUMPRODUCT(C8:C13)</f>
        <v>8131</v>
      </c>
      <c r="D14" s="20">
        <f>AVERAGE(D8:D13)</f>
        <v>0.95403510618348186</v>
      </c>
      <c r="E14" s="19">
        <f t="shared" ref="D14:L14" si="5">SUMPRODUCT(E8:E13)</f>
        <v>150</v>
      </c>
      <c r="F14" s="19">
        <f t="shared" si="5"/>
        <v>7360</v>
      </c>
      <c r="G14" s="20">
        <f>AVERAGE(G8:G13)</f>
        <v>0.9799032307619312</v>
      </c>
      <c r="H14" s="19">
        <f t="shared" si="5"/>
        <v>77</v>
      </c>
      <c r="I14" s="19">
        <f t="shared" si="5"/>
        <v>6235</v>
      </c>
      <c r="J14" s="20">
        <f>AVERAGE(J8:J13)</f>
        <v>0.96333634029605897</v>
      </c>
      <c r="K14" s="20">
        <f>AVERAGE(K8:K13)</f>
        <v>0.82695292654464703</v>
      </c>
      <c r="L14" s="19">
        <f t="shared" si="5"/>
        <v>0</v>
      </c>
    </row>
  </sheetData>
  <sheetProtection sheet="1" objects="1" scenarios="1"/>
  <mergeCells count="1">
    <mergeCell ref="A3:L3"/>
  </mergeCells>
  <phoneticPr fontId="8" type="noConversion"/>
  <conditionalFormatting sqref="L8:L13">
    <cfRule type="containsText" dxfId="6" priority="1" operator="containsText" text="Off Track">
      <formula>NOT(ISERROR(SEARCH("Off Track",L8)))</formula>
    </cfRule>
    <cfRule type="containsText" dxfId="5" priority="2" operator="containsText" text="On Track">
      <formula>NOT(ISERROR(SEARCH("On Track",L8)))</formula>
    </cfRule>
    <cfRule type="containsText" dxfId="4" priority="3" operator="containsText" text="Off Track ">
      <formula>NOT(ISERROR(SEARCH("Off Track ",L8)))</formula>
    </cfRule>
    <cfRule type="containsText" dxfId="3" priority="4" operator="containsText" text="On Track ">
      <formula>NOT(ISERROR(SEARCH("On Track ",L8)))</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7FFD0-9B07-4FE2-8859-2500F945BC36}">
  <dimension ref="A3:D11"/>
  <sheetViews>
    <sheetView topLeftCell="A2" workbookViewId="0">
      <selection activeCell="A5" sqref="A5:A10"/>
    </sheetView>
  </sheetViews>
  <sheetFormatPr defaultRowHeight="14.4" x14ac:dyDescent="0.3"/>
  <cols>
    <col min="1" max="1" width="14.5546875" bestFit="1" customWidth="1"/>
    <col min="2" max="2" width="15.5546875" bestFit="1" customWidth="1"/>
    <col min="3" max="3" width="8.6640625" bestFit="1" customWidth="1"/>
    <col min="4" max="6" width="10.77734375" bestFit="1" customWidth="1"/>
  </cols>
  <sheetData>
    <row r="3" spans="1:4" x14ac:dyDescent="0.3">
      <c r="A3" s="23" t="s">
        <v>21</v>
      </c>
      <c r="B3" s="23" t="s">
        <v>23</v>
      </c>
    </row>
    <row r="4" spans="1:4" x14ac:dyDescent="0.3">
      <c r="A4" s="23" t="s">
        <v>19</v>
      </c>
      <c r="B4" t="s">
        <v>24</v>
      </c>
      <c r="C4" t="s">
        <v>28</v>
      </c>
      <c r="D4" t="s">
        <v>20</v>
      </c>
    </row>
    <row r="5" spans="1:4" x14ac:dyDescent="0.3">
      <c r="A5" s="29">
        <v>46204</v>
      </c>
      <c r="B5" s="32">
        <v>1</v>
      </c>
      <c r="C5" s="32"/>
      <c r="D5" s="32">
        <v>1</v>
      </c>
    </row>
    <row r="6" spans="1:4" x14ac:dyDescent="0.3">
      <c r="A6" s="29">
        <v>46235</v>
      </c>
      <c r="B6" s="32">
        <v>1</v>
      </c>
      <c r="C6" s="32"/>
      <c r="D6" s="32">
        <v>1</v>
      </c>
    </row>
    <row r="7" spans="1:4" x14ac:dyDescent="0.3">
      <c r="A7" s="29">
        <v>46266</v>
      </c>
      <c r="B7" s="32"/>
      <c r="C7" s="32">
        <v>1</v>
      </c>
      <c r="D7" s="32">
        <v>1</v>
      </c>
    </row>
    <row r="8" spans="1:4" x14ac:dyDescent="0.3">
      <c r="A8" s="29">
        <v>46296</v>
      </c>
      <c r="B8" s="32">
        <v>1</v>
      </c>
      <c r="C8" s="32"/>
      <c r="D8" s="32">
        <v>1</v>
      </c>
    </row>
    <row r="9" spans="1:4" x14ac:dyDescent="0.3">
      <c r="A9" s="29">
        <v>46327</v>
      </c>
      <c r="B9" s="32">
        <v>1</v>
      </c>
      <c r="C9" s="32"/>
      <c r="D9" s="32">
        <v>1</v>
      </c>
    </row>
    <row r="10" spans="1:4" x14ac:dyDescent="0.3">
      <c r="A10" s="29">
        <v>46357</v>
      </c>
      <c r="B10" s="32">
        <v>1</v>
      </c>
      <c r="C10" s="32"/>
      <c r="D10" s="32">
        <v>1</v>
      </c>
    </row>
    <row r="11" spans="1:4" x14ac:dyDescent="0.3">
      <c r="A11" s="24" t="s">
        <v>20</v>
      </c>
      <c r="B11" s="32">
        <v>5</v>
      </c>
      <c r="C11" s="32">
        <v>1</v>
      </c>
      <c r="D11" s="32">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CC40-087E-4D65-AEE5-F75057786143}">
  <dimension ref="A3:C4"/>
  <sheetViews>
    <sheetView workbookViewId="0">
      <selection activeCell="C3" sqref="C3"/>
    </sheetView>
  </sheetViews>
  <sheetFormatPr defaultRowHeight="14.4" x14ac:dyDescent="0.3"/>
  <cols>
    <col min="1" max="1" width="12.77734375" bestFit="1" customWidth="1"/>
    <col min="2" max="2" width="13.21875" bestFit="1" customWidth="1"/>
    <col min="3" max="4" width="19.88671875" bestFit="1" customWidth="1"/>
    <col min="5" max="5" width="7" bestFit="1" customWidth="1"/>
    <col min="6" max="6" width="10.77734375" bestFit="1" customWidth="1"/>
  </cols>
  <sheetData>
    <row r="3" spans="1:3" x14ac:dyDescent="0.3">
      <c r="A3" t="s">
        <v>4</v>
      </c>
      <c r="B3" t="s">
        <v>5</v>
      </c>
      <c r="C3" t="s">
        <v>7</v>
      </c>
    </row>
    <row r="4" spans="1:3" x14ac:dyDescent="0.3">
      <c r="A4" s="32">
        <v>8131</v>
      </c>
      <c r="B4" s="32">
        <v>7360</v>
      </c>
      <c r="C4" s="32">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7076-B019-4167-B6BD-3D95420558CF}">
  <dimension ref="A3:B10"/>
  <sheetViews>
    <sheetView workbookViewId="0">
      <selection activeCell="N4" sqref="N4"/>
    </sheetView>
  </sheetViews>
  <sheetFormatPr defaultRowHeight="14.4" x14ac:dyDescent="0.3"/>
  <cols>
    <col min="1" max="1" width="12.5546875" bestFit="1" customWidth="1"/>
    <col min="2" max="2" width="15" bestFit="1" customWidth="1"/>
  </cols>
  <sheetData>
    <row r="3" spans="1:2" x14ac:dyDescent="0.3">
      <c r="A3" s="23" t="s">
        <v>19</v>
      </c>
      <c r="B3" t="s">
        <v>22</v>
      </c>
    </row>
    <row r="4" spans="1:2" x14ac:dyDescent="0.3">
      <c r="A4" s="29">
        <v>46204</v>
      </c>
      <c r="B4" s="25">
        <v>0.90569141382599139</v>
      </c>
    </row>
    <row r="5" spans="1:2" x14ac:dyDescent="0.3">
      <c r="A5" s="29">
        <v>46235</v>
      </c>
      <c r="B5" s="25">
        <v>0.84770971853787658</v>
      </c>
    </row>
    <row r="6" spans="1:2" x14ac:dyDescent="0.3">
      <c r="A6" s="29">
        <v>46266</v>
      </c>
      <c r="B6" s="25">
        <v>0.53567709366610428</v>
      </c>
    </row>
    <row r="7" spans="1:2" x14ac:dyDescent="0.3">
      <c r="A7" s="29">
        <v>46296</v>
      </c>
      <c r="B7" s="25">
        <v>0.88154406183427614</v>
      </c>
    </row>
    <row r="8" spans="1:2" x14ac:dyDescent="0.3">
      <c r="A8" s="29">
        <v>46327</v>
      </c>
      <c r="B8" s="25">
        <v>0.95576940388123466</v>
      </c>
    </row>
    <row r="9" spans="1:2" x14ac:dyDescent="0.3">
      <c r="A9" s="29">
        <v>46357</v>
      </c>
      <c r="B9" s="25">
        <v>0.83532586752239846</v>
      </c>
    </row>
    <row r="10" spans="1:2" x14ac:dyDescent="0.3">
      <c r="A10" s="24" t="s">
        <v>20</v>
      </c>
      <c r="B10" s="25">
        <v>0.82695292654464703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03BD-6B86-4DCA-9F77-56AF61583E59}">
  <dimension ref="B1:D3"/>
  <sheetViews>
    <sheetView workbookViewId="0">
      <selection activeCell="C3" sqref="C3"/>
    </sheetView>
  </sheetViews>
  <sheetFormatPr defaultRowHeight="14.4" x14ac:dyDescent="0.3"/>
  <cols>
    <col min="2" max="2" width="18.109375" bestFit="1" customWidth="1"/>
    <col min="3" max="3" width="12.88671875" bestFit="1" customWidth="1"/>
  </cols>
  <sheetData>
    <row r="1" spans="2:4" x14ac:dyDescent="0.3">
      <c r="B1" t="s">
        <v>2</v>
      </c>
      <c r="C1" t="s">
        <v>25</v>
      </c>
      <c r="D1" t="s">
        <v>26</v>
      </c>
    </row>
    <row r="2" spans="2:4" x14ac:dyDescent="0.3">
      <c r="B2" t="e">
        <f>GETPIVOTDATA("Q-Marks FI FTY Point",#REF!)</f>
        <v>#REF!</v>
      </c>
      <c r="C2">
        <f>GETPIVOTDATA("Status ",Status!$A$3,"Status ","Off Track")</f>
        <v>1</v>
      </c>
      <c r="D2">
        <f>GETPIVOTDATA("Status ",Status!$A$3,"Status ","On Track")</f>
        <v>5</v>
      </c>
    </row>
    <row r="3" spans="2:4" x14ac:dyDescent="0.3">
      <c r="C3">
        <f>IF(ISNUMBER('Reference for KPI card'!$C$2),'Reference for KPI card'!$C$2,"0")</f>
        <v>1</v>
      </c>
      <c r="D3">
        <f>IF(ISNUMBER('Reference for KPI card'!$D$2),'Reference for KPI card'!$D$2,"0")</f>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6A74-0D90-405A-9581-2B5E563F354C}">
  <dimension ref="B1:S27"/>
  <sheetViews>
    <sheetView showGridLines="0" tabSelected="1" zoomScaleNormal="100" workbookViewId="0">
      <selection activeCell="N4" sqref="N4"/>
    </sheetView>
  </sheetViews>
  <sheetFormatPr defaultRowHeight="14.4" x14ac:dyDescent="0.3"/>
  <cols>
    <col min="1" max="16384" width="8.88671875" style="26"/>
  </cols>
  <sheetData>
    <row r="1" spans="5:19" x14ac:dyDescent="0.3">
      <c r="E1" s="31" t="s">
        <v>29</v>
      </c>
      <c r="F1" s="31"/>
      <c r="G1" s="31"/>
      <c r="H1" s="31"/>
      <c r="I1" s="31"/>
      <c r="J1" s="31"/>
      <c r="K1" s="31"/>
      <c r="L1" s="31"/>
      <c r="M1" s="31"/>
      <c r="N1" s="31"/>
      <c r="O1" s="31"/>
      <c r="P1" s="31"/>
      <c r="Q1" s="31"/>
      <c r="R1" s="31"/>
      <c r="S1" s="31"/>
    </row>
    <row r="2" spans="5:19" x14ac:dyDescent="0.3">
      <c r="E2" s="31"/>
      <c r="F2" s="31"/>
      <c r="G2" s="31"/>
      <c r="H2" s="31"/>
      <c r="I2" s="31"/>
      <c r="J2" s="31"/>
      <c r="K2" s="31"/>
      <c r="L2" s="31"/>
      <c r="M2" s="31"/>
      <c r="N2" s="31"/>
      <c r="O2" s="31"/>
      <c r="P2" s="31"/>
      <c r="Q2" s="31"/>
      <c r="R2" s="31"/>
      <c r="S2" s="31"/>
    </row>
    <row r="27" spans="2:2" x14ac:dyDescent="0.3">
      <c r="B27" s="27"/>
    </row>
  </sheetData>
  <sheetProtection sheet="1" objects="1" scenarios="1"/>
  <mergeCells count="1">
    <mergeCell ref="E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17C84CC-86D0-4616-B10C-143603105397}">
  <ds:schemaRefs/>
</ds:datastoreItem>
</file>

<file path=customXml/itemProps2.xml><?xml version="1.0" encoding="utf-8"?>
<ds:datastoreItem xmlns:ds="http://schemas.openxmlformats.org/officeDocument/2006/customXml" ds:itemID="{2E7BFC33-B9E6-422A-A8D3-04ACD651A7B8}">
  <ds:schemaRefs/>
</ds:datastoreItem>
</file>

<file path=customXml/itemProps3.xml><?xml version="1.0" encoding="utf-8"?>
<ds:datastoreItem xmlns:ds="http://schemas.openxmlformats.org/officeDocument/2006/customXml" ds:itemID="{4DBBCE1A-1C35-48F6-BD30-F96F1A80802A}">
  <ds:schemaRefs/>
</ds:datastoreItem>
</file>

<file path=customXml/itemProps4.xml><?xml version="1.0" encoding="utf-8"?>
<ds:datastoreItem xmlns:ds="http://schemas.openxmlformats.org/officeDocument/2006/customXml" ds:itemID="{3498F8BE-DAA4-48EC-AC40-2940C6CBECFA}">
  <ds:schemaRefs/>
</ds:datastoreItem>
</file>

<file path=customXml/itemProps5.xml><?xml version="1.0" encoding="utf-8"?>
<ds:datastoreItem xmlns:ds="http://schemas.openxmlformats.org/officeDocument/2006/customXml" ds:itemID="{3C38E0D6-7F35-4C94-8347-2E874D9A2FE4}">
  <ds:schemaRefs/>
</ds:datastoreItem>
</file>

<file path=customXml/itemProps6.xml><?xml version="1.0" encoding="utf-8"?>
<ds:datastoreItem xmlns:ds="http://schemas.openxmlformats.org/officeDocument/2006/customXml" ds:itemID="{1611D7FE-D640-423F-BAED-60C386F97708}">
  <ds:schemaRefs/>
</ds:datastoreItem>
</file>

<file path=customXml/itemProps7.xml><?xml version="1.0" encoding="utf-8"?>
<ds:datastoreItem xmlns:ds="http://schemas.openxmlformats.org/officeDocument/2006/customXml" ds:itemID="{BD378C61-BD82-48CC-A6BF-1C64FB39EBF3}">
  <ds:schemaRefs/>
</ds:datastoreItem>
</file>

<file path=customXml/itemProps8.xml><?xml version="1.0" encoding="utf-8"?>
<ds:datastoreItem xmlns:ds="http://schemas.openxmlformats.org/officeDocument/2006/customXml" ds:itemID="{1B8E7421-7DD2-4C66-8608-71DAFD8E2863}">
  <ds:schemaRefs/>
</ds:datastoreItem>
</file>

<file path=customXml/itemProps9.xml><?xml version="1.0" encoding="utf-8"?>
<ds:datastoreItem xmlns:ds="http://schemas.openxmlformats.org/officeDocument/2006/customXml" ds:itemID="{9A493678-96AB-439E-B432-756439C08FB0}">
  <ds:schemaRefs/>
</ds:datastoreItem>
</file>

<file path=customXml/itemProps10.xml><?xml version="1.0" encoding="utf-8"?>
<ds:datastoreItem xmlns:ds="http://schemas.openxmlformats.org/officeDocument/2006/customXml" ds:itemID="{75CF1AF0-BFC2-46DD-8509-4E4F018EF2D3}">
  <ds:schemaRefs/>
</ds:datastoreItem>
</file>

<file path=customXml/itemProps11.xml><?xml version="1.0" encoding="utf-8"?>
<ds:datastoreItem xmlns:ds="http://schemas.openxmlformats.org/officeDocument/2006/customXml" ds:itemID="{0E81793E-57BB-46FD-A1A2-2BADCBADD3BD}">
  <ds:schemaRefs/>
</ds:datastoreItem>
</file>

<file path=customXml/itemProps12.xml><?xml version="1.0" encoding="utf-8"?>
<ds:datastoreItem xmlns:ds="http://schemas.openxmlformats.org/officeDocument/2006/customXml" ds:itemID="{1CF36F79-652E-4363-B818-879653613A5B}">
  <ds:schemaRefs/>
</ds:datastoreItem>
</file>

<file path=customXml/itemProps13.xml><?xml version="1.0" encoding="utf-8"?>
<ds:datastoreItem xmlns:ds="http://schemas.openxmlformats.org/officeDocument/2006/customXml" ds:itemID="{62153467-6582-4E4E-89A7-9F6D8D517E78}">
  <ds:schemaRefs/>
</ds:datastoreItem>
</file>

<file path=customXml/itemProps14.xml><?xml version="1.0" encoding="utf-8"?>
<ds:datastoreItem xmlns:ds="http://schemas.openxmlformats.org/officeDocument/2006/customXml" ds:itemID="{0840365B-CC71-442D-AF42-C84A21488DD1}">
  <ds:schemaRefs>
    <ds:schemaRef ds:uri="http://schemas.microsoft.com/DataMashup"/>
  </ds:schemaRefs>
</ds:datastoreItem>
</file>

<file path=customXml/itemProps15.xml><?xml version="1.0" encoding="utf-8"?>
<ds:datastoreItem xmlns:ds="http://schemas.openxmlformats.org/officeDocument/2006/customXml" ds:itemID="{DD831437-A348-4A17-B13E-66C4DD9892F0}">
  <ds:schemaRefs/>
</ds:datastoreItem>
</file>

<file path=customXml/itemProps16.xml><?xml version="1.0" encoding="utf-8"?>
<ds:datastoreItem xmlns:ds="http://schemas.openxmlformats.org/officeDocument/2006/customXml" ds:itemID="{1FB326A5-DFE9-4AE6-B114-EBF0B41F0BED}">
  <ds:schemaRefs/>
</ds:datastoreItem>
</file>

<file path=customXml/itemProps17.xml><?xml version="1.0" encoding="utf-8"?>
<ds:datastoreItem xmlns:ds="http://schemas.openxmlformats.org/officeDocument/2006/customXml" ds:itemID="{A8511760-2F13-4EB7-8AF1-2C28FEA5BE01}">
  <ds:schemaRefs/>
</ds:datastoreItem>
</file>

<file path=customXml/itemProps18.xml><?xml version="1.0" encoding="utf-8"?>
<ds:datastoreItem xmlns:ds="http://schemas.openxmlformats.org/officeDocument/2006/customXml" ds:itemID="{6C08FC2F-2CDA-4608-9909-C9484EAFBD34}">
  <ds:schemaRefs/>
</ds:datastoreItem>
</file>

<file path=customXml/itemProps19.xml><?xml version="1.0" encoding="utf-8"?>
<ds:datastoreItem xmlns:ds="http://schemas.openxmlformats.org/officeDocument/2006/customXml" ds:itemID="{D3BCC80A-B610-4A5E-ABA4-9E2A250D3ABA}">
  <ds:schemaRefs/>
</ds:datastoreItem>
</file>

<file path=customXml/itemProps20.xml><?xml version="1.0" encoding="utf-8"?>
<ds:datastoreItem xmlns:ds="http://schemas.openxmlformats.org/officeDocument/2006/customXml" ds:itemID="{A1C2B408-83F2-4CF2-AB43-3DF33ED7E4F4}">
  <ds:schemaRefs/>
</ds:datastoreItem>
</file>

<file path=customXml/itemProps21.xml><?xml version="1.0" encoding="utf-8"?>
<ds:datastoreItem xmlns:ds="http://schemas.openxmlformats.org/officeDocument/2006/customXml" ds:itemID="{9903A28F-104B-46AD-A00E-5E058D5AC736}">
  <ds:schemaRefs/>
</ds:datastoreItem>
</file>

<file path=customXml/itemProps22.xml><?xml version="1.0" encoding="utf-8"?>
<ds:datastoreItem xmlns:ds="http://schemas.openxmlformats.org/officeDocument/2006/customXml" ds:itemID="{7180819B-CE60-4F75-BC74-6122191C3A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Different RFT1</vt:lpstr>
      <vt:lpstr>RFT</vt:lpstr>
      <vt:lpstr>Status</vt:lpstr>
      <vt:lpstr>Quality Report</vt:lpstr>
      <vt:lpstr>Month Comparison</vt:lpstr>
      <vt:lpstr>Reference for KPI card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(SHTBB-81) Intan Rizqiyani</dc:creator>
  <cp:lastModifiedBy>Krishna Gangwani</cp:lastModifiedBy>
  <dcterms:created xsi:type="dcterms:W3CDTF">2026-04-21T00:52:58Z</dcterms:created>
  <dcterms:modified xsi:type="dcterms:W3CDTF">2026-06-10T05:48:22Z</dcterms:modified>
</cp:coreProperties>
</file>