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ishna\Desktop\"/>
    </mc:Choice>
  </mc:AlternateContent>
  <xr:revisionPtr revIDLastSave="0" documentId="13_ncr:1_{F3708159-35BC-4E4A-A346-D8E7CB8634C6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Sheet1" sheetId="6" r:id="rId1"/>
    <sheet name="Sheet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7" l="1"/>
  <c r="J4" i="7"/>
  <c r="J3" i="7"/>
  <c r="J2" i="7" l="1"/>
</calcChain>
</file>

<file path=xl/sharedStrings.xml><?xml version="1.0" encoding="utf-8"?>
<sst xmlns="http://schemas.openxmlformats.org/spreadsheetml/2006/main" count="5651" uniqueCount="77">
  <si>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</si>
  <si>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</si>
  <si>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</si>
  <si>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</si>
  <si>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</si>
  <si>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</si>
  <si>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</si>
  <si>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</si>
  <si>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</si>
  <si>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</si>
  <si>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</si>
  <si>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</si>
  <si>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</si>
  <si>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</si>
  <si>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</si>
  <si>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</si>
  <si>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</si>
  <si>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</si>
  <si>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</si>
  <si>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</si>
  <si>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</si>
  <si>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</si>
  <si>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</si>
  <si>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</si>
  <si>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</si>
  <si>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</si>
  <si>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</si>
  <si>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</si>
  <si>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</si>
  <si>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</si>
  <si>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</si>
  <si>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</si>
  <si>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</si>
  <si>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</si>
  <si>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</si>
  <si>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</si>
  <si>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</si>
  <si>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</si>
  <si>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</si>
  <si>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</si>
  <si>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</si>
  <si>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</si>
  <si>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</si>
  <si>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</si>
  <si>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</si>
  <si>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</si>
  <si>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</si>
  <si>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</si>
  <si>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</si>
  <si>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</si>
  <si>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</si>
  <si>
    <t>UNITS SOLD</t>
  </si>
  <si>
    <t>PROFIT</t>
  </si>
  <si>
    <t>MANUFACTURING</t>
  </si>
  <si>
    <t>INFLATION</t>
  </si>
  <si>
    <t>SALES PRICE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</si>
  <si>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</si>
  <si>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</si>
  <si>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</si>
  <si>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</si>
  <si>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</si>
  <si>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</si>
  <si>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</si>
  <si>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</si>
  <si>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</si>
  <si>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</si>
  <si>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</si>
  <si>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</si>
  <si>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</si>
  <si>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</t>
  </si>
  <si>
    <t>More</t>
  </si>
  <si>
    <t>Frequency</t>
  </si>
  <si>
    <t>Largest(1)</t>
  </si>
  <si>
    <t>Smallest(1)</t>
  </si>
  <si>
    <t>MONTH IN NUMBER</t>
  </si>
  <si>
    <t>MONTH IN NO.</t>
  </si>
  <si>
    <t xml:space="preserve"> STATISTICS FOR PROFIT EACH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</si>
</sst>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/d/yy\ h:mm;@"/>
    <numFmt numFmtId="166" formatCode="_-[$$-409]* #,##0.00_ ;_-[$$-409]* \-#,##0.00\ ;_-[$$-409]* &quot;-&quot;??_ ;_-@_ "/>
    <numFmt numFmtId="167" formatCode="_-[$$-409]* #,##0_ ;_-[$$-409]* \-#,##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9" fontId="0" fillId="0" borderId="0" xfId="0" applyNumberFormat="1"/>
    <xf numFmtId="167" fontId="0" fillId="0" borderId="0" xfId="0" applyNumberFormat="1"/>
    <xf numFmtId="166" fontId="0" fillId="0" borderId="2" xfId="0" applyNumberFormat="1" applyBorder="1"/>
    <xf numFmtId="167" fontId="0" fillId="0" borderId="7" xfId="0" applyNumberFormat="1" applyBorder="1"/>
    <xf numFmtId="166" fontId="0" fillId="0" borderId="7" xfId="0" applyNumberFormat="1" applyBorder="1"/>
    <xf numFmtId="166" fontId="0" fillId="0" borderId="9" xfId="0" applyNumberFormat="1" applyBorder="1"/>
    <xf numFmtId="166" fontId="0" fillId="0" borderId="10" xfId="0" applyNumberFormat="1" applyBorder="1"/>
    <xf numFmtId="0" fontId="0" fillId="0" borderId="3" xfId="0" applyBorder="1"/>
    <xf numFmtId="0" fontId="0" fillId="0" borderId="4" xfId="0" applyBorder="1"/>
    <xf numFmtId="167" fontId="0" fillId="0" borderId="5" xfId="0" applyNumberFormat="1" applyBorder="1"/>
    <xf numFmtId="0" fontId="0" fillId="0" borderId="6" xfId="0" applyBorder="1"/>
    <xf numFmtId="0" fontId="0" fillId="0" borderId="8" xfId="0" applyBorder="1"/>
    <xf numFmtId="9" fontId="0" fillId="0" borderId="10" xfId="0" applyNumberFormat="1" applyBorder="1"/>
    <xf numFmtId="10" fontId="0" fillId="0" borderId="0" xfId="0" applyNumberFormat="1"/>
    <xf numFmtId="0" fontId="4" fillId="0" borderId="0" xfId="0" applyFont="1" applyAlignment="1">
      <alignment horizontal="center"/>
    </xf>
    <xf numFmtId="0" fontId="0" fillId="0" borderId="7" xfId="0" applyBorder="1"/>
    <xf numFmtId="0" fontId="0" fillId="0" borderId="10" xfId="0" applyBorder="1"/>
    <xf numFmtId="166" fontId="0" fillId="0" borderId="11" xfId="0" applyNumberFormat="1" applyBorder="1"/>
    <xf numFmtId="166" fontId="0" fillId="0" borderId="12" xfId="0" applyNumberFormat="1" applyBorder="1"/>
    <xf numFmtId="167" fontId="0" fillId="0" borderId="14" xfId="0" applyNumberFormat="1" applyBorder="1"/>
    <xf numFmtId="167" fontId="0" fillId="0" borderId="15" xfId="0" applyNumberFormat="1" applyBorder="1"/>
    <xf numFmtId="167" fontId="0" fillId="0" borderId="16" xfId="0" applyNumberFormat="1" applyBorder="1"/>
    <xf numFmtId="166" fontId="0" fillId="0" borderId="17" xfId="0" applyNumberFormat="1" applyBorder="1"/>
    <xf numFmtId="166" fontId="0" fillId="0" borderId="18" xfId="0" applyNumberFormat="1" applyBorder="1"/>
    <xf numFmtId="166" fontId="0" fillId="0" borderId="19" xfId="0" applyNumberFormat="1" applyBorder="1"/>
    <xf numFmtId="167" fontId="0" fillId="0" borderId="3" xfId="0" applyNumberFormat="1" applyBorder="1"/>
    <xf numFmtId="9" fontId="0" fillId="0" borderId="20" xfId="0" applyNumberFormat="1" applyBorder="1"/>
    <xf numFmtId="9" fontId="0" fillId="0" borderId="21" xfId="0" applyNumberFormat="1" applyBorder="1"/>
    <xf numFmtId="9" fontId="0" fillId="0" borderId="22" xfId="0" applyNumberFormat="1" applyBorder="1"/>
    <xf numFmtId="164" fontId="3" fillId="2" borderId="1" xfId="1" applyFont="1" applyFill="1" applyBorder="1"/>
    <xf numFmtId="0" fontId="4" fillId="0" borderId="23" xfId="0" applyFont="1" applyBorder="1" applyAlignment="1">
      <alignment horizontal="center"/>
    </xf>
    <xf numFmtId="0" fontId="0" fillId="0" borderId="12" xfId="0" applyBorder="1"/>
    <xf numFmtId="0" fontId="4" fillId="0" borderId="13" xfId="0" applyFont="1" applyBorder="1" applyAlignment="1">
      <alignment horizontal="center"/>
    </xf>
    <xf numFmtId="167" fontId="0" fillId="0" borderId="6" xfId="0" applyNumberFormat="1" applyBorder="1"/>
    <xf numFmtId="167" fontId="0" fillId="0" borderId="8" xfId="0" applyNumberFormat="1" applyBorder="1"/>
    <xf numFmtId="167" fontId="0" fillId="0" borderId="10" xfId="0" applyNumberForma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Sheet2!$P$14:$P$40</c:f>
              <c:strCache>
                <c:ptCount val="27"/>
                <c:pt idx="0">
                  <c:v> $-40,618 </c:v>
                </c:pt>
                <c:pt idx="1">
                  <c:v> $-28,971 </c:v>
                </c:pt>
                <c:pt idx="2">
                  <c:v> $-17,324 </c:v>
                </c:pt>
                <c:pt idx="3">
                  <c:v> $-5,677 </c:v>
                </c:pt>
                <c:pt idx="4">
                  <c:v> $5,969.81 </c:v>
                </c:pt>
                <c:pt idx="5">
                  <c:v> $17,617 </c:v>
                </c:pt>
                <c:pt idx="6">
                  <c:v> $29,263 </c:v>
                </c:pt>
                <c:pt idx="7">
                  <c:v> $40,910 </c:v>
                </c:pt>
                <c:pt idx="8">
                  <c:v> $52,557 </c:v>
                </c:pt>
                <c:pt idx="9">
                  <c:v> $64,204 </c:v>
                </c:pt>
                <c:pt idx="10">
                  <c:v> $75,851 </c:v>
                </c:pt>
                <c:pt idx="11">
                  <c:v> $87,498 </c:v>
                </c:pt>
                <c:pt idx="12">
                  <c:v> $99,144 </c:v>
                </c:pt>
                <c:pt idx="13">
                  <c:v> $1,10,791 </c:v>
                </c:pt>
                <c:pt idx="14">
                  <c:v> $1,22,438 </c:v>
                </c:pt>
                <c:pt idx="15">
                  <c:v> $1,34,085 </c:v>
                </c:pt>
                <c:pt idx="16">
                  <c:v> $1,45,732 </c:v>
                </c:pt>
                <c:pt idx="17">
                  <c:v> $1,57,379 </c:v>
                </c:pt>
                <c:pt idx="18">
                  <c:v> $1,69,025 </c:v>
                </c:pt>
                <c:pt idx="19">
                  <c:v> $1,80,672 </c:v>
                </c:pt>
                <c:pt idx="20">
                  <c:v> $1,92,319 </c:v>
                </c:pt>
                <c:pt idx="21">
                  <c:v> $2,03,966 </c:v>
                </c:pt>
                <c:pt idx="22">
                  <c:v> $2,15,613 </c:v>
                </c:pt>
                <c:pt idx="23">
                  <c:v> $2,27,260 </c:v>
                </c:pt>
                <c:pt idx="24">
                  <c:v> $2,38,906 </c:v>
                </c:pt>
                <c:pt idx="25">
                  <c:v> $2,50,553 </c:v>
                </c:pt>
                <c:pt idx="26">
                  <c:v> More </c:v>
                </c:pt>
              </c:strCache>
            </c:strRef>
          </c:cat>
          <c:val>
            <c:numRef>
              <c:f>Sheet2!$Q$14:$Q$40</c:f>
              <c:numCache>
                <c:formatCode>General</c:formatCode>
                <c:ptCount val="27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20</c:v>
                </c:pt>
                <c:pt idx="4" formatCode="_-[$$-409]* #,##0.00_ ;_-[$$-409]* \-#,##0.00\ ;_-[$$-409]* &quot;-&quot;??_ ;_-@_ ">
                  <c:v>934</c:v>
                </c:pt>
                <c:pt idx="5">
                  <c:v>202</c:v>
                </c:pt>
                <c:pt idx="6">
                  <c:v>77</c:v>
                </c:pt>
                <c:pt idx="7">
                  <c:v>25</c:v>
                </c:pt>
                <c:pt idx="8">
                  <c:v>26</c:v>
                </c:pt>
                <c:pt idx="9">
                  <c:v>11</c:v>
                </c:pt>
                <c:pt idx="10">
                  <c:v>6</c:v>
                </c:pt>
                <c:pt idx="11">
                  <c:v>19</c:v>
                </c:pt>
                <c:pt idx="12">
                  <c:v>7</c:v>
                </c:pt>
                <c:pt idx="13">
                  <c:v>12</c:v>
                </c:pt>
                <c:pt idx="14">
                  <c:v>10</c:v>
                </c:pt>
                <c:pt idx="15">
                  <c:v>4</c:v>
                </c:pt>
                <c:pt idx="16">
                  <c:v>11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F-4E8D-B80D-E388060E5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924528"/>
        <c:axId val="1440925008"/>
      </c:barChart>
      <c:catAx>
        <c:axId val="144092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PROFITS</a:t>
                </a:r>
              </a:p>
            </c:rich>
          </c:tx>
          <c:overlay val="0"/>
        </c:title>
        <c:numFmt formatCode="\$0.0,&quot;K&quot;" sourceLinked="0"/>
        <c:majorTickMark val="out"/>
        <c:minorTickMark val="none"/>
        <c:tickLblPos val="nextTo"/>
        <c:crossAx val="1440925008"/>
        <c:crosses val="autoZero"/>
        <c:auto val="1"/>
        <c:lblAlgn val="ctr"/>
        <c:lblOffset val="100"/>
        <c:noMultiLvlLbl val="0"/>
      </c:catAx>
      <c:valAx>
        <c:axId val="1440925008"/>
        <c:scaling>
          <c:orientation val="minMax"/>
          <c:min val="1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 OF PROFITS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09245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242860</xdr:colOff>
      <xdr:row>11</xdr:row>
      <xdr:rowOff>182351</xdr:rowOff>
    </xdr:from>
    <xdr:to>
      <xdr:col>27</xdr:col>
      <xdr:colOff>369683</xdr:colOff>
      <xdr:row>38</xdr:row>
      <xdr:rowOff>45267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E9A13F-C94E-04A0-AC17-FB20D32F0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G1" zoomScale="98" zoomScaleNormal="85" workbookViewId="0">
      <selection activeCell="O12" sqref="O12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22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sheetProtection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B4E7-0A1B-4589-8DBA-13BC59A9B81F}">
  <dimension ref="A1:U713"/>
  <sheetViews>
    <sheetView zoomScale="63" zoomScaleNormal="100" workbookViewId="0">
      <selection activeCell="V7" sqref="V7"/>
    </sheetView>
  </sheetViews>
  <sheetFormatPr defaultRowHeight="14.4" x14ac:dyDescent="0.3"/>
  <cols>
    <col min="1" max="1" width="13.6640625" style="11" bestFit="1" customWidth="1"/>
    <col min="2" max="2" width="10.88671875" bestFit="1" customWidth="1"/>
    <col min="3" max="3" width="12.5546875" style="11" bestFit="1" customWidth="1"/>
    <col min="4" max="4" width="8.88671875" style="11"/>
    <col min="5" max="5" width="16.21875" style="11" bestFit="1" customWidth="1"/>
    <col min="6" max="6" width="13.6640625" bestFit="1" customWidth="1"/>
    <col min="7" max="7" width="19.5546875" bestFit="1" customWidth="1"/>
    <col min="8" max="8" width="16.21875" bestFit="1" customWidth="1"/>
    <col min="9" max="9" width="13.6640625" bestFit="1" customWidth="1"/>
    <col min="10" max="11" width="16.33203125" bestFit="1" customWidth="1"/>
    <col min="12" max="12" width="5.109375" bestFit="1" customWidth="1"/>
    <col min="13" max="13" width="17.21875" bestFit="1" customWidth="1"/>
    <col min="14" max="14" width="18.77734375" customWidth="1"/>
    <col min="15" max="15" width="9" bestFit="1" customWidth="1"/>
    <col min="16" max="16" width="12.5546875" bestFit="1" customWidth="1"/>
    <col min="17" max="18" width="9" bestFit="1" customWidth="1"/>
  </cols>
  <sheetData>
    <row r="1" spans="1:21" ht="15" thickBot="1" x14ac:dyDescent="0.35">
      <c r="A1" s="39" t="s">
        <v>50</v>
      </c>
      <c r="B1" s="39" t="s">
        <v>51</v>
      </c>
      <c r="C1" s="39" t="s">
        <v>52</v>
      </c>
      <c r="D1" s="39" t="s">
        <v>50</v>
      </c>
      <c r="E1" s="39" t="s">
        <v>53</v>
      </c>
      <c r="F1" s="39" t="s">
        <v>49</v>
      </c>
      <c r="G1" s="39" t="s">
        <v>74</v>
      </c>
      <c r="L1" s="46" t="s">
        <v>55</v>
      </c>
      <c r="M1" s="47"/>
      <c r="N1" s="47"/>
      <c r="O1" s="47"/>
      <c r="P1" s="47"/>
      <c r="Q1" s="47"/>
      <c r="R1" s="48"/>
    </row>
    <row r="2" spans="1:21" ht="15" thickBot="1" x14ac:dyDescent="0.35">
      <c r="A2" s="11">
        <v>32370</v>
      </c>
      <c r="B2">
        <v>1618.5</v>
      </c>
      <c r="C2" s="11">
        <v>16185</v>
      </c>
      <c r="D2" s="11">
        <v>20</v>
      </c>
      <c r="E2" s="11">
        <v>3</v>
      </c>
      <c r="F2" t="s">
        <v>21</v>
      </c>
      <c r="G2">
        <v>1</v>
      </c>
      <c r="I2" s="18" t="s">
        <v>52</v>
      </c>
      <c r="J2" s="19">
        <f>J4-J3</f>
        <v>17</v>
      </c>
      <c r="K2" s="17" t="s">
        <v>53</v>
      </c>
      <c r="L2" s="35">
        <f>J4-(J3*(1+J5))</f>
        <v>17</v>
      </c>
      <c r="M2" s="31">
        <v>20</v>
      </c>
      <c r="N2" s="29">
        <v>25</v>
      </c>
      <c r="O2" s="29">
        <v>30</v>
      </c>
      <c r="P2" s="29">
        <v>35</v>
      </c>
      <c r="Q2" s="29">
        <v>40</v>
      </c>
      <c r="R2" s="30">
        <v>45</v>
      </c>
    </row>
    <row r="3" spans="1:21" x14ac:dyDescent="0.3">
      <c r="A3" s="11">
        <v>26420</v>
      </c>
      <c r="B3">
        <v>1321</v>
      </c>
      <c r="C3" s="11">
        <v>13210</v>
      </c>
      <c r="D3" s="11">
        <v>20</v>
      </c>
      <c r="E3" s="11">
        <v>3</v>
      </c>
      <c r="F3" t="s">
        <v>21</v>
      </c>
      <c r="G3">
        <v>1</v>
      </c>
      <c r="I3" s="20" t="s">
        <v>53</v>
      </c>
      <c r="J3" s="13">
        <f>E2</f>
        <v>3</v>
      </c>
      <c r="L3" s="36">
        <v>0.05</v>
      </c>
      <c r="M3" s="32">
        <f t="dataTable" ref="M3:R8" dt2D="1" dtr="1" r1="J4" r2="J5"/>
        <v>16.850000000000001</v>
      </c>
      <c r="N3" s="27">
        <v>21.85</v>
      </c>
      <c r="O3" s="27">
        <v>26.85</v>
      </c>
      <c r="P3" s="27">
        <v>31.85</v>
      </c>
      <c r="Q3" s="27">
        <v>36.85</v>
      </c>
      <c r="R3" s="28">
        <v>41.85</v>
      </c>
    </row>
    <row r="4" spans="1:21" x14ac:dyDescent="0.3">
      <c r="A4" s="11">
        <v>10451</v>
      </c>
      <c r="B4">
        <v>1493</v>
      </c>
      <c r="C4" s="11">
        <v>2986</v>
      </c>
      <c r="D4" s="11">
        <v>7</v>
      </c>
      <c r="E4" s="11">
        <v>120</v>
      </c>
      <c r="F4" t="s">
        <v>21</v>
      </c>
      <c r="G4">
        <v>1</v>
      </c>
      <c r="I4" s="20" t="s">
        <v>50</v>
      </c>
      <c r="J4" s="13">
        <f>D2</f>
        <v>20</v>
      </c>
      <c r="L4" s="37">
        <v>0.1</v>
      </c>
      <c r="M4" s="33">
        <v>16.7</v>
      </c>
      <c r="N4" s="12">
        <v>21.7</v>
      </c>
      <c r="O4" s="12">
        <v>26.7</v>
      </c>
      <c r="P4" s="12">
        <v>31.7</v>
      </c>
      <c r="Q4" s="12">
        <v>36.700000000000003</v>
      </c>
      <c r="R4" s="14">
        <v>41.7</v>
      </c>
    </row>
    <row r="5" spans="1:21" ht="15" thickBot="1" x14ac:dyDescent="0.35">
      <c r="A5" s="11">
        <v>27338.850000000002</v>
      </c>
      <c r="B5">
        <v>3945</v>
      </c>
      <c r="C5" s="11">
        <v>7613.8500000000022</v>
      </c>
      <c r="D5" s="11">
        <v>7</v>
      </c>
      <c r="E5" s="11">
        <v>10</v>
      </c>
      <c r="F5" t="s">
        <v>21</v>
      </c>
      <c r="G5">
        <v>1</v>
      </c>
      <c r="I5" s="21" t="s">
        <v>54</v>
      </c>
      <c r="J5" s="22">
        <v>0</v>
      </c>
      <c r="L5" s="37">
        <v>0.15</v>
      </c>
      <c r="M5" s="33">
        <v>16.55</v>
      </c>
      <c r="N5" s="12">
        <v>21.55</v>
      </c>
      <c r="O5" s="12">
        <v>26.55</v>
      </c>
      <c r="P5" s="12">
        <v>31.55</v>
      </c>
      <c r="Q5" s="12">
        <v>36.549999999999997</v>
      </c>
      <c r="R5" s="14">
        <v>41.55</v>
      </c>
    </row>
    <row r="6" spans="1:21" x14ac:dyDescent="0.3">
      <c r="A6" s="11">
        <v>708439.5</v>
      </c>
      <c r="B6">
        <v>2434.5</v>
      </c>
      <c r="C6" s="11">
        <v>99814.5</v>
      </c>
      <c r="D6" s="11">
        <v>300</v>
      </c>
      <c r="E6" s="11">
        <v>10</v>
      </c>
      <c r="F6" t="s">
        <v>21</v>
      </c>
      <c r="G6">
        <v>1</v>
      </c>
      <c r="L6" s="37">
        <v>0.2</v>
      </c>
      <c r="M6" s="33">
        <v>16.399999999999999</v>
      </c>
      <c r="N6" s="12">
        <v>21.4</v>
      </c>
      <c r="O6" s="12">
        <v>26.4</v>
      </c>
      <c r="P6" s="12">
        <v>31.4</v>
      </c>
      <c r="Q6" s="12">
        <v>36.4</v>
      </c>
      <c r="R6" s="14">
        <v>41.4</v>
      </c>
    </row>
    <row r="7" spans="1:21" x14ac:dyDescent="0.3">
      <c r="A7" s="11">
        <v>28855.56</v>
      </c>
      <c r="B7">
        <v>2479</v>
      </c>
      <c r="C7" s="11">
        <v>21418.560000000001</v>
      </c>
      <c r="D7" s="11">
        <v>12</v>
      </c>
      <c r="E7" s="11">
        <v>250</v>
      </c>
      <c r="F7" t="s">
        <v>21</v>
      </c>
      <c r="G7">
        <v>1</v>
      </c>
      <c r="L7" s="37">
        <v>0.25</v>
      </c>
      <c r="M7" s="33">
        <v>16.25</v>
      </c>
      <c r="N7" s="12">
        <v>21.25</v>
      </c>
      <c r="O7" s="12">
        <v>26.25</v>
      </c>
      <c r="P7" s="12">
        <v>31.25</v>
      </c>
      <c r="Q7" s="12">
        <v>36.25</v>
      </c>
      <c r="R7" s="14">
        <v>41.25</v>
      </c>
    </row>
    <row r="8" spans="1:21" ht="15" thickBot="1" x14ac:dyDescent="0.35">
      <c r="A8" s="11">
        <v>28566.720000000001</v>
      </c>
      <c r="B8">
        <v>4251</v>
      </c>
      <c r="C8" s="11">
        <v>7311.7199999999993</v>
      </c>
      <c r="D8" s="11">
        <v>7</v>
      </c>
      <c r="E8" s="11">
        <v>10</v>
      </c>
      <c r="F8" t="s">
        <v>21</v>
      </c>
      <c r="G8">
        <v>1</v>
      </c>
      <c r="L8" s="38">
        <v>0.3</v>
      </c>
      <c r="M8" s="34">
        <v>16.100000000000001</v>
      </c>
      <c r="N8" s="15">
        <v>21.1</v>
      </c>
      <c r="O8" s="15">
        <v>26.1</v>
      </c>
      <c r="P8" s="15">
        <v>31.1</v>
      </c>
      <c r="Q8" s="15">
        <v>36.1</v>
      </c>
      <c r="R8" s="16">
        <v>41.1</v>
      </c>
    </row>
    <row r="9" spans="1:21" x14ac:dyDescent="0.3">
      <c r="A9" s="11">
        <v>9123.7999999999993</v>
      </c>
      <c r="B9">
        <v>1372</v>
      </c>
      <c r="C9" s="11">
        <v>2263.7999999999993</v>
      </c>
      <c r="D9" s="11">
        <v>7</v>
      </c>
      <c r="E9" s="11">
        <v>10</v>
      </c>
      <c r="F9" t="s">
        <v>21</v>
      </c>
      <c r="G9">
        <v>1</v>
      </c>
      <c r="H9" s="24"/>
      <c r="I9" s="24"/>
      <c r="K9" s="10"/>
    </row>
    <row r="10" spans="1:21" x14ac:dyDescent="0.3">
      <c r="A10" s="11">
        <v>460346.25</v>
      </c>
      <c r="B10">
        <v>1384.5</v>
      </c>
      <c r="C10" s="11">
        <v>100376.25</v>
      </c>
      <c r="D10" s="11">
        <v>350</v>
      </c>
      <c r="E10" s="11">
        <v>5</v>
      </c>
      <c r="F10" t="s">
        <v>21</v>
      </c>
      <c r="G10">
        <v>1</v>
      </c>
      <c r="K10" s="23"/>
    </row>
    <row r="11" spans="1:21" x14ac:dyDescent="0.3">
      <c r="A11" s="11">
        <v>7908.75</v>
      </c>
      <c r="B11">
        <v>555</v>
      </c>
      <c r="C11" s="11">
        <v>2358.75</v>
      </c>
      <c r="D11" s="11">
        <v>15</v>
      </c>
      <c r="E11" s="11">
        <v>120</v>
      </c>
      <c r="F11" t="s">
        <v>21</v>
      </c>
      <c r="G11">
        <v>1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5" thickBot="1" x14ac:dyDescent="0.35">
      <c r="A12" s="11">
        <v>40769.25</v>
      </c>
      <c r="B12">
        <v>2861</v>
      </c>
      <c r="C12" s="11">
        <v>12159.25</v>
      </c>
      <c r="D12" s="11">
        <v>15</v>
      </c>
      <c r="E12" s="11">
        <v>120</v>
      </c>
      <c r="F12" t="s">
        <v>21</v>
      </c>
      <c r="G12">
        <v>1</v>
      </c>
    </row>
    <row r="13" spans="1:21" ht="15" thickBot="1" x14ac:dyDescent="0.35">
      <c r="A13" s="11">
        <v>21009</v>
      </c>
      <c r="B13">
        <v>1117.5</v>
      </c>
      <c r="C13" s="11">
        <v>9834</v>
      </c>
      <c r="D13" s="11">
        <v>20</v>
      </c>
      <c r="E13" s="11">
        <v>3</v>
      </c>
      <c r="F13" t="s">
        <v>21</v>
      </c>
      <c r="G13">
        <v>1</v>
      </c>
      <c r="I13" s="39" t="s">
        <v>49</v>
      </c>
      <c r="J13" s="39" t="s">
        <v>75</v>
      </c>
      <c r="K13" s="39" t="s">
        <v>52</v>
      </c>
      <c r="M13" s="49" t="s">
        <v>76</v>
      </c>
      <c r="N13" s="50"/>
      <c r="P13" s="40" t="s">
        <v>69</v>
      </c>
      <c r="Q13" s="42" t="s">
        <v>71</v>
      </c>
    </row>
    <row r="14" spans="1:21" x14ac:dyDescent="0.3">
      <c r="A14" s="11">
        <v>233531.25</v>
      </c>
      <c r="B14">
        <v>1987.5</v>
      </c>
      <c r="C14" s="11">
        <v>-4968.75</v>
      </c>
      <c r="D14" s="11">
        <v>125</v>
      </c>
      <c r="E14" s="11">
        <v>260</v>
      </c>
      <c r="F14" t="s">
        <v>21</v>
      </c>
      <c r="G14">
        <v>1</v>
      </c>
      <c r="I14" t="s">
        <v>21</v>
      </c>
      <c r="J14">
        <v>1</v>
      </c>
      <c r="K14" s="11">
        <v>16185</v>
      </c>
      <c r="M14" s="20"/>
      <c r="N14" s="25"/>
      <c r="P14" s="43">
        <v>-40617.5</v>
      </c>
      <c r="Q14" s="41">
        <v>1</v>
      </c>
    </row>
    <row r="15" spans="1:21" ht="15" thickBot="1" x14ac:dyDescent="0.35">
      <c r="A15" s="11">
        <v>26114.400000000001</v>
      </c>
      <c r="B15">
        <v>2340</v>
      </c>
      <c r="C15" s="11">
        <v>19094.400000000001</v>
      </c>
      <c r="D15" s="11">
        <v>12</v>
      </c>
      <c r="E15" s="11">
        <v>5</v>
      </c>
      <c r="F15" t="s">
        <v>21</v>
      </c>
      <c r="G15">
        <v>1</v>
      </c>
      <c r="I15" t="s">
        <v>21</v>
      </c>
      <c r="J15">
        <v>1</v>
      </c>
      <c r="K15" s="11">
        <v>13210</v>
      </c>
      <c r="M15" s="15" t="s">
        <v>56</v>
      </c>
      <c r="N15" s="15">
        <v>24133.860371428589</v>
      </c>
      <c r="P15" s="43">
        <v>-28970.673076923078</v>
      </c>
      <c r="Q15" s="25">
        <v>4</v>
      </c>
    </row>
    <row r="16" spans="1:21" x14ac:dyDescent="0.3">
      <c r="A16" s="11">
        <v>36208.620000000003</v>
      </c>
      <c r="B16">
        <v>3244.5</v>
      </c>
      <c r="C16" s="11">
        <v>26475.120000000003</v>
      </c>
      <c r="D16" s="11">
        <v>12</v>
      </c>
      <c r="E16" s="11">
        <v>250</v>
      </c>
      <c r="F16" t="s">
        <v>21</v>
      </c>
      <c r="G16">
        <v>1</v>
      </c>
      <c r="I16" t="s">
        <v>21</v>
      </c>
      <c r="J16">
        <v>1</v>
      </c>
      <c r="K16" s="11">
        <v>2986</v>
      </c>
      <c r="M16" s="20" t="s">
        <v>57</v>
      </c>
      <c r="N16" s="13">
        <v>1616.1997684549106</v>
      </c>
      <c r="P16" s="43">
        <v>-17323.846153846152</v>
      </c>
      <c r="Q16" s="25">
        <v>15</v>
      </c>
    </row>
    <row r="17" spans="1:17" ht="15" thickBot="1" x14ac:dyDescent="0.35">
      <c r="A17" s="11">
        <v>700245</v>
      </c>
      <c r="B17">
        <v>2565</v>
      </c>
      <c r="C17" s="11">
        <v>58995</v>
      </c>
      <c r="D17" s="11">
        <v>300</v>
      </c>
      <c r="E17" s="11">
        <v>10</v>
      </c>
      <c r="F17" t="s">
        <v>21</v>
      </c>
      <c r="G17">
        <v>1</v>
      </c>
      <c r="I17" t="s">
        <v>21</v>
      </c>
      <c r="J17">
        <v>1</v>
      </c>
      <c r="K17" s="11">
        <v>7613.8500000000022</v>
      </c>
      <c r="M17" s="20" t="s">
        <v>58</v>
      </c>
      <c r="N17" s="15">
        <v>9242.1999999999989</v>
      </c>
      <c r="P17" s="43">
        <v>-5677.0192307692269</v>
      </c>
      <c r="Q17" s="25">
        <v>20</v>
      </c>
    </row>
    <row r="18" spans="1:17" ht="15" thickBot="1" x14ac:dyDescent="0.35">
      <c r="A18" s="11">
        <v>769814.5</v>
      </c>
      <c r="B18">
        <v>2417</v>
      </c>
      <c r="C18" s="11">
        <v>141394.5</v>
      </c>
      <c r="D18" s="11">
        <v>350</v>
      </c>
      <c r="E18" s="11">
        <v>10</v>
      </c>
      <c r="F18" t="s">
        <v>21</v>
      </c>
      <c r="G18">
        <v>1</v>
      </c>
      <c r="I18" t="s">
        <v>21</v>
      </c>
      <c r="J18">
        <v>1</v>
      </c>
      <c r="K18" s="11">
        <v>99814.5</v>
      </c>
      <c r="M18" s="20" t="s">
        <v>59</v>
      </c>
      <c r="N18" s="13">
        <v>0</v>
      </c>
      <c r="P18" s="15">
        <v>5969.8076923076951</v>
      </c>
      <c r="Q18" s="15">
        <v>934</v>
      </c>
    </row>
    <row r="19" spans="1:17" x14ac:dyDescent="0.3">
      <c r="A19" s="11">
        <v>21359.52</v>
      </c>
      <c r="B19">
        <v>1956</v>
      </c>
      <c r="C19" s="11">
        <v>15491.52</v>
      </c>
      <c r="D19" s="11">
        <v>12</v>
      </c>
      <c r="E19" s="11">
        <v>250</v>
      </c>
      <c r="F19" t="s">
        <v>21</v>
      </c>
      <c r="G19">
        <v>1</v>
      </c>
      <c r="I19" t="s">
        <v>21</v>
      </c>
      <c r="J19">
        <v>1</v>
      </c>
      <c r="K19" s="11">
        <v>21418.560000000001</v>
      </c>
      <c r="M19" s="20" t="s">
        <v>60</v>
      </c>
      <c r="N19" s="13">
        <v>42760.62656331867</v>
      </c>
      <c r="P19" s="43">
        <v>17616.634615384617</v>
      </c>
      <c r="Q19" s="25">
        <v>202</v>
      </c>
    </row>
    <row r="20" spans="1:17" x14ac:dyDescent="0.3">
      <c r="A20" s="11">
        <v>9193.5</v>
      </c>
      <c r="B20">
        <v>681</v>
      </c>
      <c r="C20" s="11">
        <v>2383.5</v>
      </c>
      <c r="D20" s="11">
        <v>15</v>
      </c>
      <c r="E20" s="11">
        <v>120</v>
      </c>
      <c r="F20" t="s">
        <v>21</v>
      </c>
      <c r="G20">
        <v>1</v>
      </c>
      <c r="I20" t="s">
        <v>21</v>
      </c>
      <c r="J20">
        <v>1</v>
      </c>
      <c r="K20" s="11">
        <v>7311.7199999999993</v>
      </c>
      <c r="M20" s="20" t="s">
        <v>61</v>
      </c>
      <c r="N20" s="13">
        <v>1828471184.087594</v>
      </c>
      <c r="P20" s="43">
        <v>29263.461538461546</v>
      </c>
      <c r="Q20" s="25">
        <v>77</v>
      </c>
    </row>
    <row r="21" spans="1:17" x14ac:dyDescent="0.3">
      <c r="A21" s="11">
        <v>65137.5</v>
      </c>
      <c r="B21">
        <v>579</v>
      </c>
      <c r="C21" s="11">
        <v>-4342.5</v>
      </c>
      <c r="D21" s="11">
        <v>125</v>
      </c>
      <c r="E21" s="11">
        <v>260</v>
      </c>
      <c r="F21" t="s">
        <v>21</v>
      </c>
      <c r="G21">
        <v>1</v>
      </c>
      <c r="I21" t="s">
        <v>21</v>
      </c>
      <c r="J21">
        <v>1</v>
      </c>
      <c r="K21" s="11">
        <v>2263.7999999999993</v>
      </c>
      <c r="M21" s="20" t="s">
        <v>62</v>
      </c>
      <c r="N21" s="13">
        <v>8.6786162157039719</v>
      </c>
      <c r="P21" s="43">
        <v>40910.288461538468</v>
      </c>
      <c r="Q21" s="25">
        <v>25</v>
      </c>
    </row>
    <row r="22" spans="1:17" x14ac:dyDescent="0.3">
      <c r="A22" s="11">
        <v>5126.3999999999996</v>
      </c>
      <c r="B22">
        <v>384</v>
      </c>
      <c r="C22" s="11">
        <v>1286.3999999999999</v>
      </c>
      <c r="D22" s="11">
        <v>15</v>
      </c>
      <c r="E22" s="11">
        <v>120</v>
      </c>
      <c r="F22" t="s">
        <v>21</v>
      </c>
      <c r="G22">
        <v>1</v>
      </c>
      <c r="I22" t="s">
        <v>21</v>
      </c>
      <c r="J22">
        <v>1</v>
      </c>
      <c r="K22" s="11">
        <v>100376.25</v>
      </c>
      <c r="M22" s="20" t="s">
        <v>63</v>
      </c>
      <c r="N22" s="13">
        <v>2.7121512644367276</v>
      </c>
      <c r="P22" s="43">
        <v>52557.11538461539</v>
      </c>
      <c r="Q22" s="25">
        <v>26</v>
      </c>
    </row>
    <row r="23" spans="1:17" x14ac:dyDescent="0.3">
      <c r="A23" s="11">
        <v>238609</v>
      </c>
      <c r="B23">
        <v>766</v>
      </c>
      <c r="C23" s="11">
        <v>39449</v>
      </c>
      <c r="D23" s="11">
        <v>350</v>
      </c>
      <c r="E23" s="11">
        <v>5</v>
      </c>
      <c r="F23" t="s">
        <v>21</v>
      </c>
      <c r="G23">
        <v>1</v>
      </c>
      <c r="I23" t="s">
        <v>21</v>
      </c>
      <c r="J23">
        <v>1</v>
      </c>
      <c r="K23" s="11">
        <v>2358.75</v>
      </c>
      <c r="M23" s="20" t="s">
        <v>64</v>
      </c>
      <c r="N23" s="13">
        <v>302817.5</v>
      </c>
      <c r="P23" s="43">
        <v>64203.942307692312</v>
      </c>
      <c r="Q23" s="25">
        <v>11</v>
      </c>
    </row>
    <row r="24" spans="1:17" ht="15" thickBot="1" x14ac:dyDescent="0.35">
      <c r="A24" s="11">
        <v>233091</v>
      </c>
      <c r="B24">
        <v>873</v>
      </c>
      <c r="C24" s="11">
        <v>14841</v>
      </c>
      <c r="D24" s="11">
        <v>300</v>
      </c>
      <c r="E24" s="11">
        <v>10</v>
      </c>
      <c r="F24" t="s">
        <v>21</v>
      </c>
      <c r="G24">
        <v>1</v>
      </c>
      <c r="I24" t="s">
        <v>21</v>
      </c>
      <c r="J24">
        <v>1</v>
      </c>
      <c r="K24" s="11">
        <v>12159.25</v>
      </c>
      <c r="M24" s="20" t="s">
        <v>65</v>
      </c>
      <c r="N24" s="15">
        <v>-40617.5</v>
      </c>
      <c r="P24" s="43">
        <v>75850.769230769234</v>
      </c>
      <c r="Q24" s="25">
        <v>6</v>
      </c>
    </row>
    <row r="25" spans="1:17" ht="15" thickBot="1" x14ac:dyDescent="0.35">
      <c r="A25" s="11">
        <v>18519.12</v>
      </c>
      <c r="B25">
        <v>1734</v>
      </c>
      <c r="C25" s="11">
        <v>13317.119999999999</v>
      </c>
      <c r="D25" s="11">
        <v>12</v>
      </c>
      <c r="E25" s="11">
        <v>250</v>
      </c>
      <c r="F25" t="s">
        <v>21</v>
      </c>
      <c r="G25">
        <v>1</v>
      </c>
      <c r="I25" t="s">
        <v>21</v>
      </c>
      <c r="J25">
        <v>1</v>
      </c>
      <c r="K25" s="11">
        <v>9834</v>
      </c>
      <c r="M25" s="20" t="s">
        <v>66</v>
      </c>
      <c r="N25" s="15">
        <v>262200</v>
      </c>
      <c r="P25" s="43">
        <v>87497.596153846156</v>
      </c>
      <c r="Q25" s="25">
        <v>19</v>
      </c>
    </row>
    <row r="26" spans="1:17" x14ac:dyDescent="0.3">
      <c r="A26" s="11">
        <v>61632.5</v>
      </c>
      <c r="B26">
        <v>554</v>
      </c>
      <c r="C26" s="11">
        <v>-4847.5</v>
      </c>
      <c r="D26" s="11">
        <v>125</v>
      </c>
      <c r="E26" s="11">
        <v>250</v>
      </c>
      <c r="F26" t="s">
        <v>21</v>
      </c>
      <c r="G26">
        <v>1</v>
      </c>
      <c r="I26" t="s">
        <v>21</v>
      </c>
      <c r="J26">
        <v>1</v>
      </c>
      <c r="K26" s="11">
        <v>-4968.75</v>
      </c>
      <c r="M26" s="20" t="s">
        <v>67</v>
      </c>
      <c r="N26" s="13">
        <v>16893702.260000013</v>
      </c>
      <c r="P26" s="43">
        <v>99144.423076923093</v>
      </c>
      <c r="Q26" s="25">
        <v>7</v>
      </c>
    </row>
    <row r="27" spans="1:17" x14ac:dyDescent="0.3">
      <c r="A27" s="11">
        <v>352106.25</v>
      </c>
      <c r="B27">
        <v>3165</v>
      </c>
      <c r="C27" s="11">
        <v>-27693.75</v>
      </c>
      <c r="D27" s="11">
        <v>125</v>
      </c>
      <c r="E27" s="11">
        <v>260</v>
      </c>
      <c r="F27" t="s">
        <v>21</v>
      </c>
      <c r="G27">
        <v>1</v>
      </c>
      <c r="I27" t="s">
        <v>21</v>
      </c>
      <c r="J27">
        <v>1</v>
      </c>
      <c r="K27" s="11">
        <v>19094.400000000001</v>
      </c>
      <c r="M27" s="20" t="s">
        <v>68</v>
      </c>
      <c r="N27" s="13">
        <v>700</v>
      </c>
      <c r="P27" s="43">
        <v>110791.25</v>
      </c>
      <c r="Q27" s="25">
        <v>12</v>
      </c>
    </row>
    <row r="28" spans="1:17" x14ac:dyDescent="0.3">
      <c r="A28" s="11">
        <v>46796.2</v>
      </c>
      <c r="B28">
        <v>2629</v>
      </c>
      <c r="C28" s="11">
        <v>20506.199999999997</v>
      </c>
      <c r="D28" s="11">
        <v>20</v>
      </c>
      <c r="E28" s="11">
        <v>260</v>
      </c>
      <c r="F28" t="s">
        <v>21</v>
      </c>
      <c r="G28">
        <v>1</v>
      </c>
      <c r="I28" t="s">
        <v>21</v>
      </c>
      <c r="J28">
        <v>1</v>
      </c>
      <c r="K28" s="11">
        <v>26475.120000000003</v>
      </c>
      <c r="M28" s="20" t="s">
        <v>72</v>
      </c>
      <c r="N28" s="13">
        <v>262200</v>
      </c>
      <c r="P28" s="43">
        <v>122438.07692307694</v>
      </c>
      <c r="Q28" s="25">
        <v>10</v>
      </c>
    </row>
    <row r="29" spans="1:17" ht="15" thickBot="1" x14ac:dyDescent="0.35">
      <c r="A29" s="11">
        <v>922680</v>
      </c>
      <c r="B29">
        <v>3495</v>
      </c>
      <c r="C29" s="11">
        <v>48930</v>
      </c>
      <c r="D29" s="11">
        <v>300</v>
      </c>
      <c r="E29" s="11">
        <v>10</v>
      </c>
      <c r="F29" t="s">
        <v>21</v>
      </c>
      <c r="G29">
        <v>1</v>
      </c>
      <c r="I29" t="s">
        <v>21</v>
      </c>
      <c r="J29">
        <v>1</v>
      </c>
      <c r="K29" s="11">
        <v>58995</v>
      </c>
      <c r="M29" s="21" t="s">
        <v>73</v>
      </c>
      <c r="N29" s="45">
        <v>-40617.5</v>
      </c>
      <c r="P29" s="43">
        <v>134084.90384615384</v>
      </c>
      <c r="Q29" s="25">
        <v>4</v>
      </c>
    </row>
    <row r="30" spans="1:17" x14ac:dyDescent="0.3">
      <c r="A30" s="11">
        <v>44378.399999999994</v>
      </c>
      <c r="B30">
        <v>2521.5</v>
      </c>
      <c r="C30" s="11">
        <v>19163.399999999998</v>
      </c>
      <c r="D30" s="11">
        <v>20</v>
      </c>
      <c r="E30" s="11">
        <v>3</v>
      </c>
      <c r="F30" t="s">
        <v>21</v>
      </c>
      <c r="G30">
        <v>1</v>
      </c>
      <c r="I30" t="s">
        <v>21</v>
      </c>
      <c r="J30">
        <v>1</v>
      </c>
      <c r="K30" s="11">
        <v>141394.5</v>
      </c>
      <c r="P30" s="43">
        <v>145731.73076923078</v>
      </c>
      <c r="Q30" s="25">
        <v>11</v>
      </c>
    </row>
    <row r="31" spans="1:17" x14ac:dyDescent="0.3">
      <c r="A31" s="11">
        <v>299171.25</v>
      </c>
      <c r="B31">
        <v>982.5</v>
      </c>
      <c r="C31" s="11">
        <v>43721.25</v>
      </c>
      <c r="D31" s="11">
        <v>350</v>
      </c>
      <c r="E31" s="11">
        <v>5</v>
      </c>
      <c r="F31" t="s">
        <v>21</v>
      </c>
      <c r="G31">
        <v>1</v>
      </c>
      <c r="I31" t="s">
        <v>21</v>
      </c>
      <c r="J31">
        <v>1</v>
      </c>
      <c r="K31" s="11">
        <v>15491.52</v>
      </c>
      <c r="P31" s="43">
        <v>157378.55769230772</v>
      </c>
      <c r="Q31" s="25">
        <v>2</v>
      </c>
    </row>
    <row r="32" spans="1:17" x14ac:dyDescent="0.3">
      <c r="A32" s="11">
        <v>8760.4650000000001</v>
      </c>
      <c r="B32">
        <v>1438.5</v>
      </c>
      <c r="C32" s="11">
        <v>1567.9649999999992</v>
      </c>
      <c r="D32" s="11">
        <v>7</v>
      </c>
      <c r="E32" s="11">
        <v>10</v>
      </c>
      <c r="F32" t="s">
        <v>21</v>
      </c>
      <c r="G32">
        <v>1</v>
      </c>
      <c r="I32" t="s">
        <v>21</v>
      </c>
      <c r="J32">
        <v>1</v>
      </c>
      <c r="K32" s="11">
        <v>2383.5</v>
      </c>
      <c r="P32" s="43">
        <v>169025.38461538462</v>
      </c>
      <c r="Q32" s="25">
        <v>3</v>
      </c>
    </row>
    <row r="33" spans="1:17" x14ac:dyDescent="0.3">
      <c r="A33" s="11">
        <v>210627</v>
      </c>
      <c r="B33">
        <v>807</v>
      </c>
      <c r="C33" s="11">
        <v>8877</v>
      </c>
      <c r="D33" s="11">
        <v>300</v>
      </c>
      <c r="E33" s="11">
        <v>10</v>
      </c>
      <c r="F33" t="s">
        <v>21</v>
      </c>
      <c r="G33">
        <v>1</v>
      </c>
      <c r="I33" t="s">
        <v>21</v>
      </c>
      <c r="J33">
        <v>1</v>
      </c>
      <c r="K33" s="11">
        <v>-4342.5</v>
      </c>
      <c r="P33" s="43">
        <v>180672.21153846156</v>
      </c>
      <c r="Q33" s="25">
        <v>0</v>
      </c>
    </row>
    <row r="34" spans="1:17" x14ac:dyDescent="0.3">
      <c r="A34" s="11">
        <v>52167.375</v>
      </c>
      <c r="B34">
        <v>3997.5</v>
      </c>
      <c r="C34" s="11">
        <v>12192.375</v>
      </c>
      <c r="D34" s="11">
        <v>15</v>
      </c>
      <c r="E34" s="11">
        <v>120</v>
      </c>
      <c r="F34" t="s">
        <v>21</v>
      </c>
      <c r="G34">
        <v>1</v>
      </c>
      <c r="I34" t="s">
        <v>21</v>
      </c>
      <c r="J34">
        <v>1</v>
      </c>
      <c r="K34" s="11">
        <v>1286.3999999999999</v>
      </c>
      <c r="P34" s="43">
        <v>192319.03846153847</v>
      </c>
      <c r="Q34" s="25">
        <v>3</v>
      </c>
    </row>
    <row r="35" spans="1:17" x14ac:dyDescent="0.3">
      <c r="A35" s="11">
        <v>180416.25</v>
      </c>
      <c r="B35">
        <v>1659</v>
      </c>
      <c r="C35" s="11">
        <v>-18663.75</v>
      </c>
      <c r="D35" s="11">
        <v>125</v>
      </c>
      <c r="E35" s="11">
        <v>260</v>
      </c>
      <c r="F35" t="s">
        <v>21</v>
      </c>
      <c r="G35">
        <v>1</v>
      </c>
      <c r="I35" t="s">
        <v>21</v>
      </c>
      <c r="J35">
        <v>1</v>
      </c>
      <c r="K35" s="11">
        <v>39449</v>
      </c>
      <c r="P35" s="43">
        <v>203965.8653846154</v>
      </c>
      <c r="Q35" s="25">
        <v>0</v>
      </c>
    </row>
    <row r="36" spans="1:17" x14ac:dyDescent="0.3">
      <c r="A36" s="11">
        <v>670477.5</v>
      </c>
      <c r="B36">
        <v>2227.5</v>
      </c>
      <c r="C36" s="11">
        <v>91327.5</v>
      </c>
      <c r="D36" s="11">
        <v>350</v>
      </c>
      <c r="E36" s="11">
        <v>5</v>
      </c>
      <c r="F36" t="s">
        <v>21</v>
      </c>
      <c r="G36">
        <v>1</v>
      </c>
      <c r="I36" t="s">
        <v>21</v>
      </c>
      <c r="J36">
        <v>1</v>
      </c>
      <c r="K36" s="11">
        <v>14841</v>
      </c>
      <c r="P36" s="43">
        <v>215612.69230769231</v>
      </c>
      <c r="Q36" s="25">
        <v>0</v>
      </c>
    </row>
    <row r="37" spans="1:17" x14ac:dyDescent="0.3">
      <c r="A37" s="11">
        <v>5840</v>
      </c>
      <c r="B37">
        <v>292</v>
      </c>
      <c r="C37" s="11">
        <v>2920</v>
      </c>
      <c r="D37" s="11">
        <v>20</v>
      </c>
      <c r="E37" s="11">
        <v>10</v>
      </c>
      <c r="F37" t="s">
        <v>22</v>
      </c>
      <c r="G37">
        <v>2</v>
      </c>
      <c r="I37" t="s">
        <v>21</v>
      </c>
      <c r="J37">
        <v>1</v>
      </c>
      <c r="K37" s="11">
        <v>13317.119999999999</v>
      </c>
      <c r="P37" s="43">
        <v>227259.51923076925</v>
      </c>
      <c r="Q37" s="25">
        <v>0</v>
      </c>
    </row>
    <row r="38" spans="1:17" x14ac:dyDescent="0.3">
      <c r="A38" s="11">
        <v>14610</v>
      </c>
      <c r="B38">
        <v>974</v>
      </c>
      <c r="C38" s="11">
        <v>4870</v>
      </c>
      <c r="D38" s="11">
        <v>15</v>
      </c>
      <c r="E38" s="11">
        <v>10</v>
      </c>
      <c r="F38" t="s">
        <v>22</v>
      </c>
      <c r="G38">
        <v>2</v>
      </c>
      <c r="I38" t="s">
        <v>21</v>
      </c>
      <c r="J38">
        <v>1</v>
      </c>
      <c r="K38" s="11">
        <v>-4847.5</v>
      </c>
      <c r="P38" s="43">
        <v>238906.34615384619</v>
      </c>
      <c r="Q38" s="25">
        <v>4</v>
      </c>
    </row>
    <row r="39" spans="1:17" x14ac:dyDescent="0.3">
      <c r="A39" s="11">
        <v>225500</v>
      </c>
      <c r="B39">
        <v>1804</v>
      </c>
      <c r="C39" s="11">
        <v>9020</v>
      </c>
      <c r="D39" s="11">
        <v>125</v>
      </c>
      <c r="E39" s="11">
        <v>120</v>
      </c>
      <c r="F39" t="s">
        <v>22</v>
      </c>
      <c r="G39">
        <v>2</v>
      </c>
      <c r="I39" t="s">
        <v>21</v>
      </c>
      <c r="J39">
        <v>1</v>
      </c>
      <c r="K39" s="11">
        <v>-27693.75</v>
      </c>
      <c r="P39" s="43">
        <v>250553.17307692312</v>
      </c>
      <c r="Q39" s="25">
        <v>3</v>
      </c>
    </row>
    <row r="40" spans="1:17" ht="15" thickBot="1" x14ac:dyDescent="0.35">
      <c r="A40" s="11">
        <v>600300</v>
      </c>
      <c r="B40">
        <v>2001</v>
      </c>
      <c r="C40" s="11">
        <v>100050</v>
      </c>
      <c r="D40" s="11">
        <v>300</v>
      </c>
      <c r="E40" s="11">
        <v>250</v>
      </c>
      <c r="F40" t="s">
        <v>22</v>
      </c>
      <c r="G40">
        <v>2</v>
      </c>
      <c r="I40" t="s">
        <v>21</v>
      </c>
      <c r="J40">
        <v>1</v>
      </c>
      <c r="K40" s="11">
        <v>20506.199999999997</v>
      </c>
      <c r="P40" s="44" t="s">
        <v>70</v>
      </c>
      <c r="Q40" s="26">
        <v>1</v>
      </c>
    </row>
    <row r="41" spans="1:17" x14ac:dyDescent="0.3">
      <c r="A41" s="11">
        <v>962500</v>
      </c>
      <c r="B41">
        <v>2750</v>
      </c>
      <c r="C41" s="11">
        <v>247500</v>
      </c>
      <c r="D41" s="11">
        <v>350</v>
      </c>
      <c r="E41" s="11">
        <v>260</v>
      </c>
      <c r="F41" t="s">
        <v>22</v>
      </c>
      <c r="G41">
        <v>2</v>
      </c>
      <c r="I41" t="s">
        <v>21</v>
      </c>
      <c r="J41">
        <v>1</v>
      </c>
      <c r="K41" s="11">
        <v>48930</v>
      </c>
    </row>
    <row r="42" spans="1:17" x14ac:dyDescent="0.3">
      <c r="A42" s="11">
        <v>34095.599999999999</v>
      </c>
      <c r="B42">
        <v>2296</v>
      </c>
      <c r="C42" s="11">
        <v>11135.599999999999</v>
      </c>
      <c r="D42" s="11">
        <v>15</v>
      </c>
      <c r="E42" s="11">
        <v>10</v>
      </c>
      <c r="F42" t="s">
        <v>22</v>
      </c>
      <c r="G42">
        <v>2</v>
      </c>
      <c r="I42" t="s">
        <v>21</v>
      </c>
      <c r="J42">
        <v>1</v>
      </c>
      <c r="K42" s="11">
        <v>19163.399999999998</v>
      </c>
    </row>
    <row r="43" spans="1:17" x14ac:dyDescent="0.3">
      <c r="A43" s="11">
        <v>22073.040000000001</v>
      </c>
      <c r="B43">
        <v>1858</v>
      </c>
      <c r="C43" s="11">
        <v>16499.04</v>
      </c>
      <c r="D43" s="11">
        <v>12</v>
      </c>
      <c r="E43" s="11">
        <v>3</v>
      </c>
      <c r="F43" t="s">
        <v>22</v>
      </c>
      <c r="G43">
        <v>2</v>
      </c>
      <c r="I43" t="s">
        <v>21</v>
      </c>
      <c r="J43">
        <v>1</v>
      </c>
      <c r="K43" s="11">
        <v>43721.25</v>
      </c>
    </row>
    <row r="44" spans="1:17" x14ac:dyDescent="0.3">
      <c r="A44" s="11">
        <v>22482.9</v>
      </c>
      <c r="B44">
        <v>1514</v>
      </c>
      <c r="C44" s="11">
        <v>7342.9000000000015</v>
      </c>
      <c r="D44" s="11">
        <v>15</v>
      </c>
      <c r="E44" s="11">
        <v>10</v>
      </c>
      <c r="F44" t="s">
        <v>22</v>
      </c>
      <c r="G44">
        <v>2</v>
      </c>
      <c r="I44" t="s">
        <v>21</v>
      </c>
      <c r="J44">
        <v>1</v>
      </c>
      <c r="K44" s="11">
        <v>1567.9649999999992</v>
      </c>
    </row>
    <row r="45" spans="1:17" x14ac:dyDescent="0.3">
      <c r="A45" s="11">
        <v>34736.1</v>
      </c>
      <c r="B45">
        <v>2363</v>
      </c>
      <c r="C45" s="11">
        <v>11106.099999999999</v>
      </c>
      <c r="D45" s="11">
        <v>15</v>
      </c>
      <c r="E45" s="11">
        <v>10</v>
      </c>
      <c r="F45" t="s">
        <v>22</v>
      </c>
      <c r="G45">
        <v>2</v>
      </c>
      <c r="I45" t="s">
        <v>21</v>
      </c>
      <c r="J45">
        <v>1</v>
      </c>
      <c r="K45" s="11">
        <v>8877</v>
      </c>
    </row>
    <row r="46" spans="1:17" x14ac:dyDescent="0.3">
      <c r="A46" s="11">
        <v>13294.82</v>
      </c>
      <c r="B46">
        <v>1958</v>
      </c>
      <c r="C46" s="11">
        <v>3504.8199999999997</v>
      </c>
      <c r="D46" s="11">
        <v>7</v>
      </c>
      <c r="E46" s="11">
        <v>5</v>
      </c>
      <c r="F46" t="s">
        <v>22</v>
      </c>
      <c r="G46">
        <v>2</v>
      </c>
      <c r="I46" t="s">
        <v>21</v>
      </c>
      <c r="J46">
        <v>1</v>
      </c>
      <c r="K46" s="11">
        <v>12192.375</v>
      </c>
    </row>
    <row r="47" spans="1:17" x14ac:dyDescent="0.3">
      <c r="A47" s="11">
        <v>827604</v>
      </c>
      <c r="B47">
        <v>2844</v>
      </c>
      <c r="C47" s="11">
        <v>116604</v>
      </c>
      <c r="D47" s="11">
        <v>300</v>
      </c>
      <c r="E47" s="11">
        <v>250</v>
      </c>
      <c r="F47" t="s">
        <v>22</v>
      </c>
      <c r="G47">
        <v>2</v>
      </c>
      <c r="I47" t="s">
        <v>21</v>
      </c>
      <c r="J47">
        <v>1</v>
      </c>
      <c r="K47" s="11">
        <v>-18663.75</v>
      </c>
    </row>
    <row r="48" spans="1:17" x14ac:dyDescent="0.3">
      <c r="A48" s="11">
        <v>626640</v>
      </c>
      <c r="B48">
        <v>1865</v>
      </c>
      <c r="C48" s="11">
        <v>141740</v>
      </c>
      <c r="D48" s="11">
        <v>350</v>
      </c>
      <c r="E48" s="11">
        <v>260</v>
      </c>
      <c r="F48" t="s">
        <v>22</v>
      </c>
      <c r="G48">
        <v>2</v>
      </c>
      <c r="I48" t="s">
        <v>21</v>
      </c>
      <c r="J48">
        <v>1</v>
      </c>
      <c r="K48" s="11">
        <v>91327.5</v>
      </c>
    </row>
    <row r="49" spans="1:11" x14ac:dyDescent="0.3">
      <c r="A49" s="11">
        <v>21261</v>
      </c>
      <c r="B49">
        <v>1865</v>
      </c>
      <c r="C49" s="11">
        <v>15666</v>
      </c>
      <c r="D49" s="11">
        <v>12</v>
      </c>
      <c r="E49" s="11">
        <v>3</v>
      </c>
      <c r="F49" t="s">
        <v>22</v>
      </c>
      <c r="G49">
        <v>2</v>
      </c>
      <c r="I49" t="s">
        <v>22</v>
      </c>
      <c r="J49">
        <v>2</v>
      </c>
      <c r="K49" s="11">
        <v>2920</v>
      </c>
    </row>
    <row r="50" spans="1:11" x14ac:dyDescent="0.3">
      <c r="A50" s="11">
        <v>12722.4</v>
      </c>
      <c r="B50">
        <v>1116</v>
      </c>
      <c r="C50" s="11">
        <v>9374.4</v>
      </c>
      <c r="D50" s="11">
        <v>12</v>
      </c>
      <c r="E50" s="11">
        <v>3</v>
      </c>
      <c r="F50" t="s">
        <v>22</v>
      </c>
      <c r="G50">
        <v>2</v>
      </c>
      <c r="I50" t="s">
        <v>22</v>
      </c>
      <c r="J50">
        <v>2</v>
      </c>
      <c r="K50" s="11">
        <v>4870</v>
      </c>
    </row>
    <row r="51" spans="1:11" x14ac:dyDescent="0.3">
      <c r="A51" s="11">
        <v>24757</v>
      </c>
      <c r="B51">
        <v>1303</v>
      </c>
      <c r="C51" s="11">
        <v>11727</v>
      </c>
      <c r="D51" s="11">
        <v>20</v>
      </c>
      <c r="E51" s="11">
        <v>10</v>
      </c>
      <c r="F51" t="s">
        <v>22</v>
      </c>
      <c r="G51">
        <v>2</v>
      </c>
      <c r="I51" t="s">
        <v>22</v>
      </c>
      <c r="J51">
        <v>2</v>
      </c>
      <c r="K51" s="11">
        <v>9020</v>
      </c>
    </row>
    <row r="52" spans="1:11" x14ac:dyDescent="0.3">
      <c r="A52" s="11">
        <v>95831.25</v>
      </c>
      <c r="B52">
        <v>807</v>
      </c>
      <c r="C52" s="11">
        <v>-1008.75</v>
      </c>
      <c r="D52" s="11">
        <v>125</v>
      </c>
      <c r="E52" s="11">
        <v>120</v>
      </c>
      <c r="F52" t="s">
        <v>22</v>
      </c>
      <c r="G52">
        <v>2</v>
      </c>
      <c r="I52" t="s">
        <v>22</v>
      </c>
      <c r="J52">
        <v>2</v>
      </c>
      <c r="K52" s="11">
        <v>100050</v>
      </c>
    </row>
    <row r="53" spans="1:11" x14ac:dyDescent="0.3">
      <c r="A53" s="11">
        <v>448875</v>
      </c>
      <c r="B53">
        <v>1350</v>
      </c>
      <c r="C53" s="11">
        <v>97875</v>
      </c>
      <c r="D53" s="11">
        <v>350</v>
      </c>
      <c r="E53" s="11">
        <v>260</v>
      </c>
      <c r="F53" t="s">
        <v>22</v>
      </c>
      <c r="G53">
        <v>2</v>
      </c>
      <c r="I53" t="s">
        <v>22</v>
      </c>
      <c r="J53">
        <v>2</v>
      </c>
      <c r="K53" s="11">
        <v>247500</v>
      </c>
    </row>
    <row r="54" spans="1:11" x14ac:dyDescent="0.3">
      <c r="A54" s="11">
        <v>111860</v>
      </c>
      <c r="B54">
        <v>952</v>
      </c>
      <c r="C54" s="11">
        <v>-2380</v>
      </c>
      <c r="D54" s="11">
        <v>125</v>
      </c>
      <c r="E54" s="11">
        <v>120</v>
      </c>
      <c r="F54" t="s">
        <v>22</v>
      </c>
      <c r="G54">
        <v>2</v>
      </c>
      <c r="I54" t="s">
        <v>22</v>
      </c>
      <c r="J54">
        <v>2</v>
      </c>
      <c r="K54" s="11">
        <v>11135.599999999999</v>
      </c>
    </row>
    <row r="55" spans="1:11" x14ac:dyDescent="0.3">
      <c r="A55" s="11">
        <v>323712.5</v>
      </c>
      <c r="B55">
        <v>2755</v>
      </c>
      <c r="C55" s="11">
        <v>-6887.5</v>
      </c>
      <c r="D55" s="11">
        <v>125</v>
      </c>
      <c r="E55" s="11">
        <v>120</v>
      </c>
      <c r="F55" t="s">
        <v>22</v>
      </c>
      <c r="G55">
        <v>2</v>
      </c>
      <c r="I55" t="s">
        <v>22</v>
      </c>
      <c r="J55">
        <v>2</v>
      </c>
      <c r="K55" s="11">
        <v>16499.04</v>
      </c>
    </row>
    <row r="56" spans="1:11" x14ac:dyDescent="0.3">
      <c r="A56" s="11">
        <v>8113.32</v>
      </c>
      <c r="B56">
        <v>727</v>
      </c>
      <c r="C56" s="11">
        <v>5932.32</v>
      </c>
      <c r="D56" s="11">
        <v>12</v>
      </c>
      <c r="E56" s="11">
        <v>3</v>
      </c>
      <c r="F56" t="s">
        <v>22</v>
      </c>
      <c r="G56">
        <v>2</v>
      </c>
      <c r="I56" t="s">
        <v>22</v>
      </c>
      <c r="J56">
        <v>2</v>
      </c>
      <c r="K56" s="11">
        <v>7342.9000000000015</v>
      </c>
    </row>
    <row r="57" spans="1:11" x14ac:dyDescent="0.3">
      <c r="A57" s="11">
        <v>267561</v>
      </c>
      <c r="B57">
        <v>959</v>
      </c>
      <c r="C57" s="11">
        <v>27811</v>
      </c>
      <c r="D57" s="11">
        <v>300</v>
      </c>
      <c r="E57" s="11">
        <v>250</v>
      </c>
      <c r="F57" t="s">
        <v>22</v>
      </c>
      <c r="G57">
        <v>2</v>
      </c>
      <c r="I57" t="s">
        <v>22</v>
      </c>
      <c r="J57">
        <v>2</v>
      </c>
      <c r="K57" s="11">
        <v>11106.099999999999</v>
      </c>
    </row>
    <row r="58" spans="1:11" x14ac:dyDescent="0.3">
      <c r="A58" s="11">
        <v>766413</v>
      </c>
      <c r="B58">
        <v>2747</v>
      </c>
      <c r="C58" s="11">
        <v>79663</v>
      </c>
      <c r="D58" s="11">
        <v>300</v>
      </c>
      <c r="E58" s="11">
        <v>250</v>
      </c>
      <c r="F58" t="s">
        <v>22</v>
      </c>
      <c r="G58">
        <v>2</v>
      </c>
      <c r="I58" t="s">
        <v>22</v>
      </c>
      <c r="J58">
        <v>2</v>
      </c>
      <c r="K58" s="11">
        <v>3504.8199999999997</v>
      </c>
    </row>
    <row r="59" spans="1:11" x14ac:dyDescent="0.3">
      <c r="A59" s="11">
        <v>3142.7200000000003</v>
      </c>
      <c r="B59">
        <v>488</v>
      </c>
      <c r="C59" s="11">
        <v>702.72000000000025</v>
      </c>
      <c r="D59" s="11">
        <v>7</v>
      </c>
      <c r="E59" s="11">
        <v>5</v>
      </c>
      <c r="F59" t="s">
        <v>22</v>
      </c>
      <c r="G59">
        <v>2</v>
      </c>
      <c r="I59" t="s">
        <v>22</v>
      </c>
      <c r="J59">
        <v>2</v>
      </c>
      <c r="K59" s="11">
        <v>116604</v>
      </c>
    </row>
    <row r="60" spans="1:11" x14ac:dyDescent="0.3">
      <c r="A60" s="11">
        <v>725907</v>
      </c>
      <c r="B60">
        <v>2659</v>
      </c>
      <c r="C60" s="11">
        <v>61157</v>
      </c>
      <c r="D60" s="11">
        <v>300</v>
      </c>
      <c r="E60" s="11">
        <v>250</v>
      </c>
      <c r="F60" t="s">
        <v>22</v>
      </c>
      <c r="G60">
        <v>2</v>
      </c>
      <c r="I60" t="s">
        <v>22</v>
      </c>
      <c r="J60">
        <v>2</v>
      </c>
      <c r="K60" s="11">
        <v>141740</v>
      </c>
    </row>
    <row r="61" spans="1:11" x14ac:dyDescent="0.3">
      <c r="A61" s="11">
        <v>705600</v>
      </c>
      <c r="B61">
        <v>2240</v>
      </c>
      <c r="C61" s="11">
        <v>123200</v>
      </c>
      <c r="D61" s="11">
        <v>350</v>
      </c>
      <c r="E61" s="11">
        <v>260</v>
      </c>
      <c r="F61" t="s">
        <v>22</v>
      </c>
      <c r="G61">
        <v>2</v>
      </c>
      <c r="I61" t="s">
        <v>22</v>
      </c>
      <c r="J61">
        <v>2</v>
      </c>
      <c r="K61" s="11">
        <v>15666</v>
      </c>
    </row>
    <row r="62" spans="1:11" x14ac:dyDescent="0.3">
      <c r="A62" s="11">
        <v>20687.16</v>
      </c>
      <c r="B62">
        <v>1937</v>
      </c>
      <c r="C62" s="11">
        <v>14876.16</v>
      </c>
      <c r="D62" s="11">
        <v>12</v>
      </c>
      <c r="E62" s="11">
        <v>3</v>
      </c>
      <c r="F62" t="s">
        <v>22</v>
      </c>
      <c r="G62">
        <v>2</v>
      </c>
      <c r="I62" t="s">
        <v>22</v>
      </c>
      <c r="J62">
        <v>2</v>
      </c>
      <c r="K62" s="11">
        <v>9374.4</v>
      </c>
    </row>
    <row r="63" spans="1:11" x14ac:dyDescent="0.3">
      <c r="A63" s="11">
        <v>83160</v>
      </c>
      <c r="B63">
        <v>270</v>
      </c>
      <c r="C63" s="11">
        <v>12960</v>
      </c>
      <c r="D63" s="11">
        <v>350</v>
      </c>
      <c r="E63" s="11">
        <v>260</v>
      </c>
      <c r="F63" t="s">
        <v>22</v>
      </c>
      <c r="G63">
        <v>2</v>
      </c>
      <c r="I63" t="s">
        <v>22</v>
      </c>
      <c r="J63">
        <v>2</v>
      </c>
      <c r="K63" s="11">
        <v>11727</v>
      </c>
    </row>
    <row r="64" spans="1:11" x14ac:dyDescent="0.3">
      <c r="A64" s="11">
        <v>7904.82</v>
      </c>
      <c r="B64">
        <v>1298</v>
      </c>
      <c r="C64" s="11">
        <v>1414.8199999999997</v>
      </c>
      <c r="D64" s="11">
        <v>7</v>
      </c>
      <c r="E64" s="11">
        <v>5</v>
      </c>
      <c r="F64" t="s">
        <v>22</v>
      </c>
      <c r="G64">
        <v>2</v>
      </c>
      <c r="I64" t="s">
        <v>22</v>
      </c>
      <c r="J64">
        <v>2</v>
      </c>
      <c r="K64" s="11">
        <v>-1008.75</v>
      </c>
    </row>
    <row r="65" spans="1:11" x14ac:dyDescent="0.3">
      <c r="A65" s="11">
        <v>45953.4</v>
      </c>
      <c r="B65">
        <v>2641</v>
      </c>
      <c r="C65" s="11">
        <v>19543.400000000001</v>
      </c>
      <c r="D65" s="11">
        <v>20</v>
      </c>
      <c r="E65" s="11">
        <v>10</v>
      </c>
      <c r="F65" t="s">
        <v>22</v>
      </c>
      <c r="G65">
        <v>2</v>
      </c>
      <c r="I65" t="s">
        <v>22</v>
      </c>
      <c r="J65">
        <v>2</v>
      </c>
      <c r="K65" s="11">
        <v>97875</v>
      </c>
    </row>
    <row r="66" spans="1:11" x14ac:dyDescent="0.3">
      <c r="A66" s="11">
        <v>47119.199999999997</v>
      </c>
      <c r="B66">
        <v>2708</v>
      </c>
      <c r="C66" s="11">
        <v>20039.199999999997</v>
      </c>
      <c r="D66" s="11">
        <v>20</v>
      </c>
      <c r="E66" s="11">
        <v>10</v>
      </c>
      <c r="F66" t="s">
        <v>22</v>
      </c>
      <c r="G66">
        <v>2</v>
      </c>
      <c r="I66" t="s">
        <v>22</v>
      </c>
      <c r="J66">
        <v>2</v>
      </c>
      <c r="K66" s="11">
        <v>-2380</v>
      </c>
    </row>
    <row r="67" spans="1:11" x14ac:dyDescent="0.3">
      <c r="A67" s="11">
        <v>1763.8600000000001</v>
      </c>
      <c r="B67">
        <v>293</v>
      </c>
      <c r="C67" s="11">
        <v>298.86000000000013</v>
      </c>
      <c r="D67" s="11">
        <v>7</v>
      </c>
      <c r="E67" s="11">
        <v>5</v>
      </c>
      <c r="F67" t="s">
        <v>22</v>
      </c>
      <c r="G67">
        <v>2</v>
      </c>
      <c r="I67" t="s">
        <v>22</v>
      </c>
      <c r="J67">
        <v>2</v>
      </c>
      <c r="K67" s="11">
        <v>-6887.5</v>
      </c>
    </row>
    <row r="68" spans="1:11" x14ac:dyDescent="0.3">
      <c r="A68" s="11">
        <v>3586.2</v>
      </c>
      <c r="B68">
        <v>278</v>
      </c>
      <c r="C68" s="11">
        <v>806.19999999999982</v>
      </c>
      <c r="D68" s="11">
        <v>15</v>
      </c>
      <c r="E68" s="11">
        <v>10</v>
      </c>
      <c r="F68" t="s">
        <v>22</v>
      </c>
      <c r="G68">
        <v>2</v>
      </c>
      <c r="I68" t="s">
        <v>22</v>
      </c>
      <c r="J68">
        <v>2</v>
      </c>
      <c r="K68" s="11">
        <v>5932.32</v>
      </c>
    </row>
    <row r="69" spans="1:11" x14ac:dyDescent="0.3">
      <c r="A69" s="11">
        <v>4472</v>
      </c>
      <c r="B69">
        <v>260</v>
      </c>
      <c r="C69" s="11">
        <v>1872</v>
      </c>
      <c r="D69" s="11">
        <v>20</v>
      </c>
      <c r="E69" s="11">
        <v>10</v>
      </c>
      <c r="F69" t="s">
        <v>22</v>
      </c>
      <c r="G69">
        <v>2</v>
      </c>
      <c r="I69" t="s">
        <v>22</v>
      </c>
      <c r="J69">
        <v>2</v>
      </c>
      <c r="K69" s="11">
        <v>27811</v>
      </c>
    </row>
    <row r="70" spans="1:11" x14ac:dyDescent="0.3">
      <c r="A70" s="11">
        <v>169312.5</v>
      </c>
      <c r="B70">
        <v>1575</v>
      </c>
      <c r="C70" s="11">
        <v>-19687.5</v>
      </c>
      <c r="D70" s="11">
        <v>125</v>
      </c>
      <c r="E70" s="11">
        <v>120</v>
      </c>
      <c r="F70" t="s">
        <v>22</v>
      </c>
      <c r="G70">
        <v>2</v>
      </c>
      <c r="I70" t="s">
        <v>22</v>
      </c>
      <c r="J70">
        <v>2</v>
      </c>
      <c r="K70" s="11">
        <v>79663</v>
      </c>
    </row>
    <row r="71" spans="1:11" x14ac:dyDescent="0.3">
      <c r="A71" s="11">
        <v>8139.6</v>
      </c>
      <c r="B71">
        <v>1368</v>
      </c>
      <c r="C71" s="11">
        <v>1299.6000000000004</v>
      </c>
      <c r="D71" s="11">
        <v>7</v>
      </c>
      <c r="E71" s="11">
        <v>5</v>
      </c>
      <c r="F71" t="s">
        <v>22</v>
      </c>
      <c r="G71">
        <v>2</v>
      </c>
      <c r="I71" t="s">
        <v>22</v>
      </c>
      <c r="J71">
        <v>2</v>
      </c>
      <c r="K71" s="11">
        <v>702.72000000000025</v>
      </c>
    </row>
    <row r="72" spans="1:11" x14ac:dyDescent="0.3">
      <c r="A72" s="11">
        <v>13815</v>
      </c>
      <c r="B72">
        <v>921</v>
      </c>
      <c r="C72" s="11">
        <v>4605</v>
      </c>
      <c r="D72" s="11">
        <v>15</v>
      </c>
      <c r="E72" s="11">
        <v>5</v>
      </c>
      <c r="F72" t="s">
        <v>23</v>
      </c>
      <c r="G72">
        <v>3</v>
      </c>
      <c r="I72" t="s">
        <v>22</v>
      </c>
      <c r="J72">
        <v>2</v>
      </c>
      <c r="K72" s="11">
        <v>61157</v>
      </c>
    </row>
    <row r="73" spans="1:11" x14ac:dyDescent="0.3">
      <c r="A73" s="11">
        <v>25932</v>
      </c>
      <c r="B73">
        <v>2161</v>
      </c>
      <c r="C73" s="11">
        <v>19449</v>
      </c>
      <c r="D73" s="11">
        <v>12</v>
      </c>
      <c r="E73" s="11">
        <v>120</v>
      </c>
      <c r="F73" t="s">
        <v>23</v>
      </c>
      <c r="G73">
        <v>3</v>
      </c>
      <c r="I73" t="s">
        <v>22</v>
      </c>
      <c r="J73">
        <v>2</v>
      </c>
      <c r="K73" s="11">
        <v>123200</v>
      </c>
    </row>
    <row r="74" spans="1:11" x14ac:dyDescent="0.3">
      <c r="A74" s="11">
        <v>9189.18</v>
      </c>
      <c r="B74">
        <v>1326</v>
      </c>
      <c r="C74" s="11">
        <v>2559.1800000000003</v>
      </c>
      <c r="D74" s="11">
        <v>7</v>
      </c>
      <c r="E74" s="11">
        <v>250</v>
      </c>
      <c r="F74" t="s">
        <v>23</v>
      </c>
      <c r="G74">
        <v>3</v>
      </c>
      <c r="I74" t="s">
        <v>22</v>
      </c>
      <c r="J74">
        <v>2</v>
      </c>
      <c r="K74" s="11">
        <v>14876.16</v>
      </c>
    </row>
    <row r="75" spans="1:11" x14ac:dyDescent="0.3">
      <c r="A75" s="11">
        <v>419265</v>
      </c>
      <c r="B75">
        <v>1210</v>
      </c>
      <c r="C75" s="11">
        <v>104665</v>
      </c>
      <c r="D75" s="11">
        <v>350</v>
      </c>
      <c r="E75" s="11">
        <v>3</v>
      </c>
      <c r="F75" t="s">
        <v>23</v>
      </c>
      <c r="G75">
        <v>3</v>
      </c>
      <c r="I75" t="s">
        <v>22</v>
      </c>
      <c r="J75">
        <v>2</v>
      </c>
      <c r="K75" s="11">
        <v>12960</v>
      </c>
    </row>
    <row r="76" spans="1:11" x14ac:dyDescent="0.3">
      <c r="A76" s="11">
        <v>32877.9</v>
      </c>
      <c r="B76">
        <v>2214</v>
      </c>
      <c r="C76" s="11">
        <v>10737.900000000001</v>
      </c>
      <c r="D76" s="11">
        <v>15</v>
      </c>
      <c r="E76" s="11">
        <v>5</v>
      </c>
      <c r="F76" t="s">
        <v>23</v>
      </c>
      <c r="G76">
        <v>3</v>
      </c>
      <c r="I76" t="s">
        <v>22</v>
      </c>
      <c r="J76">
        <v>2</v>
      </c>
      <c r="K76" s="11">
        <v>1414.8199999999997</v>
      </c>
    </row>
    <row r="77" spans="1:11" x14ac:dyDescent="0.3">
      <c r="A77" s="11">
        <v>1822.59</v>
      </c>
      <c r="B77">
        <v>263</v>
      </c>
      <c r="C77" s="11">
        <v>507.58999999999992</v>
      </c>
      <c r="D77" s="11">
        <v>7</v>
      </c>
      <c r="E77" s="11">
        <v>250</v>
      </c>
      <c r="F77" t="s">
        <v>23</v>
      </c>
      <c r="G77">
        <v>3</v>
      </c>
      <c r="I77" t="s">
        <v>22</v>
      </c>
      <c r="J77">
        <v>2</v>
      </c>
      <c r="K77" s="11">
        <v>19543.400000000001</v>
      </c>
    </row>
    <row r="78" spans="1:11" x14ac:dyDescent="0.3">
      <c r="A78" s="11">
        <v>76146</v>
      </c>
      <c r="B78">
        <v>259</v>
      </c>
      <c r="C78" s="11">
        <v>11396</v>
      </c>
      <c r="D78" s="11">
        <v>300</v>
      </c>
      <c r="E78" s="11">
        <v>260</v>
      </c>
      <c r="F78" t="s">
        <v>23</v>
      </c>
      <c r="G78">
        <v>3</v>
      </c>
      <c r="I78" t="s">
        <v>22</v>
      </c>
      <c r="J78">
        <v>2</v>
      </c>
      <c r="K78" s="11">
        <v>20039.199999999997</v>
      </c>
    </row>
    <row r="79" spans="1:11" x14ac:dyDescent="0.3">
      <c r="A79" s="11">
        <v>323694</v>
      </c>
      <c r="B79">
        <v>1101</v>
      </c>
      <c r="C79" s="11">
        <v>48444</v>
      </c>
      <c r="D79" s="11">
        <v>300</v>
      </c>
      <c r="E79" s="11">
        <v>260</v>
      </c>
      <c r="F79" t="s">
        <v>23</v>
      </c>
      <c r="G79">
        <v>3</v>
      </c>
      <c r="I79" t="s">
        <v>22</v>
      </c>
      <c r="J79">
        <v>2</v>
      </c>
      <c r="K79" s="11">
        <v>298.86000000000013</v>
      </c>
    </row>
    <row r="80" spans="1:11" x14ac:dyDescent="0.3">
      <c r="A80" s="11">
        <v>215097.5</v>
      </c>
      <c r="B80">
        <v>1774</v>
      </c>
      <c r="C80" s="11">
        <v>2217.5</v>
      </c>
      <c r="D80" s="11">
        <v>125</v>
      </c>
      <c r="E80" s="11">
        <v>10</v>
      </c>
      <c r="F80" t="s">
        <v>23</v>
      </c>
      <c r="G80">
        <v>3</v>
      </c>
      <c r="I80" t="s">
        <v>22</v>
      </c>
      <c r="J80">
        <v>2</v>
      </c>
      <c r="K80" s="11">
        <v>806.19999999999982</v>
      </c>
    </row>
    <row r="81" spans="1:11" x14ac:dyDescent="0.3">
      <c r="A81" s="11">
        <v>28324.799999999999</v>
      </c>
      <c r="B81">
        <v>1967</v>
      </c>
      <c r="C81" s="11">
        <v>8654.7999999999993</v>
      </c>
      <c r="D81" s="11">
        <v>15</v>
      </c>
      <c r="E81" s="11">
        <v>5</v>
      </c>
      <c r="F81" t="s">
        <v>23</v>
      </c>
      <c r="G81">
        <v>3</v>
      </c>
      <c r="I81" t="s">
        <v>22</v>
      </c>
      <c r="J81">
        <v>2</v>
      </c>
      <c r="K81" s="11">
        <v>1872</v>
      </c>
    </row>
    <row r="82" spans="1:11" x14ac:dyDescent="0.3">
      <c r="A82" s="11">
        <v>95400</v>
      </c>
      <c r="B82">
        <v>795</v>
      </c>
      <c r="C82" s="11">
        <v>0</v>
      </c>
      <c r="D82" s="11">
        <v>125</v>
      </c>
      <c r="E82" s="11">
        <v>10</v>
      </c>
      <c r="F82" t="s">
        <v>23</v>
      </c>
      <c r="G82">
        <v>3</v>
      </c>
      <c r="I82" t="s">
        <v>22</v>
      </c>
      <c r="J82">
        <v>2</v>
      </c>
      <c r="K82" s="11">
        <v>-19687.5</v>
      </c>
    </row>
    <row r="83" spans="1:11" x14ac:dyDescent="0.3">
      <c r="A83" s="11">
        <v>16876.8</v>
      </c>
      <c r="B83">
        <v>1465</v>
      </c>
      <c r="C83" s="11">
        <v>12481.8</v>
      </c>
      <c r="D83" s="11">
        <v>12</v>
      </c>
      <c r="E83" s="11">
        <v>120</v>
      </c>
      <c r="F83" t="s">
        <v>23</v>
      </c>
      <c r="G83">
        <v>3</v>
      </c>
      <c r="I83" t="s">
        <v>22</v>
      </c>
      <c r="J83">
        <v>2</v>
      </c>
      <c r="K83" s="11">
        <v>1299.6000000000004</v>
      </c>
    </row>
    <row r="84" spans="1:11" x14ac:dyDescent="0.3">
      <c r="A84" s="11">
        <v>355300</v>
      </c>
      <c r="B84">
        <v>2992</v>
      </c>
      <c r="C84" s="11">
        <v>-3740</v>
      </c>
      <c r="D84" s="11">
        <v>125</v>
      </c>
      <c r="E84" s="11">
        <v>10</v>
      </c>
      <c r="F84" t="s">
        <v>23</v>
      </c>
      <c r="G84">
        <v>3</v>
      </c>
      <c r="I84" t="s">
        <v>23</v>
      </c>
      <c r="J84">
        <v>3</v>
      </c>
      <c r="K84" s="11">
        <v>4605</v>
      </c>
    </row>
    <row r="85" spans="1:11" x14ac:dyDescent="0.3">
      <c r="A85" s="11">
        <v>283218.75</v>
      </c>
      <c r="B85">
        <v>2385</v>
      </c>
      <c r="C85" s="11">
        <v>-2981.25</v>
      </c>
      <c r="D85" s="11">
        <v>125</v>
      </c>
      <c r="E85" s="11">
        <v>10</v>
      </c>
      <c r="F85" t="s">
        <v>23</v>
      </c>
      <c r="G85">
        <v>3</v>
      </c>
      <c r="I85" t="s">
        <v>23</v>
      </c>
      <c r="J85">
        <v>3</v>
      </c>
      <c r="K85" s="11">
        <v>19449</v>
      </c>
    </row>
    <row r="86" spans="1:11" x14ac:dyDescent="0.3">
      <c r="A86" s="11">
        <v>573205.5</v>
      </c>
      <c r="B86">
        <v>1761</v>
      </c>
      <c r="C86" s="11">
        <v>115345.5</v>
      </c>
      <c r="D86" s="11">
        <v>350</v>
      </c>
      <c r="E86" s="11">
        <v>3</v>
      </c>
      <c r="F86" t="s">
        <v>23</v>
      </c>
      <c r="G86">
        <v>3</v>
      </c>
      <c r="I86" t="s">
        <v>23</v>
      </c>
      <c r="J86">
        <v>3</v>
      </c>
      <c r="K86" s="11">
        <v>2559.1800000000003</v>
      </c>
    </row>
    <row r="87" spans="1:11" x14ac:dyDescent="0.3">
      <c r="A87" s="11">
        <v>34513.800000000003</v>
      </c>
      <c r="B87">
        <v>2501</v>
      </c>
      <c r="C87" s="11">
        <v>9503.8000000000029</v>
      </c>
      <c r="D87" s="11">
        <v>15</v>
      </c>
      <c r="E87" s="11">
        <v>5</v>
      </c>
      <c r="F87" t="s">
        <v>23</v>
      </c>
      <c r="G87">
        <v>3</v>
      </c>
      <c r="I87" t="s">
        <v>23</v>
      </c>
      <c r="J87">
        <v>3</v>
      </c>
      <c r="K87" s="11">
        <v>104665</v>
      </c>
    </row>
    <row r="88" spans="1:11" x14ac:dyDescent="0.3">
      <c r="A88" s="11">
        <v>128110</v>
      </c>
      <c r="B88">
        <v>1114</v>
      </c>
      <c r="C88" s="11">
        <v>-5570</v>
      </c>
      <c r="D88" s="11">
        <v>125</v>
      </c>
      <c r="E88" s="11">
        <v>10</v>
      </c>
      <c r="F88" t="s">
        <v>23</v>
      </c>
      <c r="G88">
        <v>3</v>
      </c>
      <c r="I88" t="s">
        <v>23</v>
      </c>
      <c r="J88">
        <v>3</v>
      </c>
      <c r="K88" s="11">
        <v>10737.900000000001</v>
      </c>
    </row>
    <row r="89" spans="1:11" x14ac:dyDescent="0.3">
      <c r="A89" s="11">
        <v>6601.92</v>
      </c>
      <c r="B89">
        <v>598</v>
      </c>
      <c r="C89" s="11">
        <v>4807.92</v>
      </c>
      <c r="D89" s="11">
        <v>12</v>
      </c>
      <c r="E89" s="11">
        <v>120</v>
      </c>
      <c r="F89" t="s">
        <v>23</v>
      </c>
      <c r="G89">
        <v>3</v>
      </c>
      <c r="I89" t="s">
        <v>23</v>
      </c>
      <c r="J89">
        <v>3</v>
      </c>
      <c r="K89" s="11">
        <v>507.58999999999992</v>
      </c>
    </row>
    <row r="90" spans="1:11" x14ac:dyDescent="0.3">
      <c r="A90" s="11">
        <v>17708.599999999999</v>
      </c>
      <c r="B90">
        <v>973</v>
      </c>
      <c r="C90" s="11">
        <v>7978.5999999999985</v>
      </c>
      <c r="D90" s="11">
        <v>20</v>
      </c>
      <c r="E90" s="11">
        <v>10</v>
      </c>
      <c r="F90" t="s">
        <v>23</v>
      </c>
      <c r="G90">
        <v>3</v>
      </c>
      <c r="I90" t="s">
        <v>23</v>
      </c>
      <c r="J90">
        <v>3</v>
      </c>
      <c r="K90" s="11">
        <v>11396</v>
      </c>
    </row>
    <row r="91" spans="1:11" x14ac:dyDescent="0.3">
      <c r="A91" s="11">
        <v>21479.64</v>
      </c>
      <c r="B91">
        <v>1967</v>
      </c>
      <c r="C91" s="11">
        <v>15578.64</v>
      </c>
      <c r="D91" s="11">
        <v>12</v>
      </c>
      <c r="E91" s="11">
        <v>120</v>
      </c>
      <c r="F91" t="s">
        <v>23</v>
      </c>
      <c r="G91">
        <v>3</v>
      </c>
      <c r="I91" t="s">
        <v>23</v>
      </c>
      <c r="J91">
        <v>3</v>
      </c>
      <c r="K91" s="11">
        <v>48444</v>
      </c>
    </row>
    <row r="92" spans="1:11" x14ac:dyDescent="0.3">
      <c r="A92" s="11">
        <v>35172</v>
      </c>
      <c r="B92">
        <v>1954</v>
      </c>
      <c r="C92" s="11">
        <v>15632</v>
      </c>
      <c r="D92" s="11">
        <v>20</v>
      </c>
      <c r="E92" s="11">
        <v>10</v>
      </c>
      <c r="F92" t="s">
        <v>23</v>
      </c>
      <c r="G92">
        <v>3</v>
      </c>
      <c r="I92" t="s">
        <v>23</v>
      </c>
      <c r="J92">
        <v>3</v>
      </c>
      <c r="K92" s="11">
        <v>2217.5</v>
      </c>
    </row>
    <row r="93" spans="1:11" x14ac:dyDescent="0.3">
      <c r="A93" s="11">
        <v>808110</v>
      </c>
      <c r="B93">
        <v>2993</v>
      </c>
      <c r="C93" s="11">
        <v>59860</v>
      </c>
      <c r="D93" s="11">
        <v>300</v>
      </c>
      <c r="E93" s="11">
        <v>260</v>
      </c>
      <c r="F93" t="s">
        <v>23</v>
      </c>
      <c r="G93">
        <v>3</v>
      </c>
      <c r="I93" t="s">
        <v>23</v>
      </c>
      <c r="J93">
        <v>3</v>
      </c>
      <c r="K93" s="11">
        <v>8654.7999999999993</v>
      </c>
    </row>
    <row r="94" spans="1:11" x14ac:dyDescent="0.3">
      <c r="A94" s="11">
        <v>9837.17</v>
      </c>
      <c r="B94">
        <v>1579</v>
      </c>
      <c r="C94" s="11">
        <v>1942.17</v>
      </c>
      <c r="D94" s="11">
        <v>7</v>
      </c>
      <c r="E94" s="11">
        <v>250</v>
      </c>
      <c r="F94" t="s">
        <v>23</v>
      </c>
      <c r="G94">
        <v>3</v>
      </c>
      <c r="I94" t="s">
        <v>23</v>
      </c>
      <c r="J94">
        <v>3</v>
      </c>
      <c r="K94" s="11">
        <v>0</v>
      </c>
    </row>
    <row r="95" spans="1:11" x14ac:dyDescent="0.3">
      <c r="A95" s="11">
        <v>246708</v>
      </c>
      <c r="B95">
        <v>792</v>
      </c>
      <c r="C95" s="11">
        <v>40788</v>
      </c>
      <c r="D95" s="11">
        <v>350</v>
      </c>
      <c r="E95" s="11">
        <v>3</v>
      </c>
      <c r="F95" t="s">
        <v>23</v>
      </c>
      <c r="G95">
        <v>3</v>
      </c>
      <c r="I95" t="s">
        <v>23</v>
      </c>
      <c r="J95">
        <v>3</v>
      </c>
      <c r="K95" s="11">
        <v>12481.8</v>
      </c>
    </row>
    <row r="96" spans="1:11" x14ac:dyDescent="0.3">
      <c r="A96" s="11">
        <v>19971.599999999999</v>
      </c>
      <c r="B96">
        <v>1122</v>
      </c>
      <c r="C96" s="11">
        <v>8751.5999999999985</v>
      </c>
      <c r="D96" s="11">
        <v>20</v>
      </c>
      <c r="E96" s="11">
        <v>10</v>
      </c>
      <c r="F96" t="s">
        <v>23</v>
      </c>
      <c r="G96">
        <v>3</v>
      </c>
      <c r="I96" t="s">
        <v>23</v>
      </c>
      <c r="J96">
        <v>3</v>
      </c>
      <c r="K96" s="11">
        <v>-3740</v>
      </c>
    </row>
    <row r="97" spans="1:11" x14ac:dyDescent="0.3">
      <c r="A97" s="11">
        <v>8936.4</v>
      </c>
      <c r="B97">
        <v>677</v>
      </c>
      <c r="C97" s="11">
        <v>2166.3999999999996</v>
      </c>
      <c r="D97" s="11">
        <v>15</v>
      </c>
      <c r="E97" s="11">
        <v>5</v>
      </c>
      <c r="F97" t="s">
        <v>23</v>
      </c>
      <c r="G97">
        <v>3</v>
      </c>
      <c r="I97" t="s">
        <v>23</v>
      </c>
      <c r="J97">
        <v>3</v>
      </c>
      <c r="K97" s="11">
        <v>-2981.25</v>
      </c>
    </row>
    <row r="98" spans="1:11" x14ac:dyDescent="0.3">
      <c r="A98" s="11">
        <v>9184.56</v>
      </c>
      <c r="B98">
        <v>1491</v>
      </c>
      <c r="C98" s="11">
        <v>1729.5599999999995</v>
      </c>
      <c r="D98" s="11">
        <v>7</v>
      </c>
      <c r="E98" s="11">
        <v>250</v>
      </c>
      <c r="F98" t="s">
        <v>23</v>
      </c>
      <c r="G98">
        <v>3</v>
      </c>
      <c r="I98" t="s">
        <v>23</v>
      </c>
      <c r="J98">
        <v>3</v>
      </c>
      <c r="K98" s="11">
        <v>115345.5</v>
      </c>
    </row>
    <row r="99" spans="1:11" x14ac:dyDescent="0.3">
      <c r="A99" s="11">
        <v>281053.5</v>
      </c>
      <c r="B99">
        <v>923</v>
      </c>
      <c r="C99" s="11">
        <v>41073.5</v>
      </c>
      <c r="D99" s="11">
        <v>350</v>
      </c>
      <c r="E99" s="11">
        <v>3</v>
      </c>
      <c r="F99" t="s">
        <v>23</v>
      </c>
      <c r="G99">
        <v>3</v>
      </c>
      <c r="I99" t="s">
        <v>23</v>
      </c>
      <c r="J99">
        <v>3</v>
      </c>
      <c r="K99" s="11">
        <v>9503.8000000000029</v>
      </c>
    </row>
    <row r="100" spans="1:11" x14ac:dyDescent="0.3">
      <c r="A100" s="11">
        <v>545055</v>
      </c>
      <c r="B100">
        <v>1790</v>
      </c>
      <c r="C100" s="11">
        <v>79655</v>
      </c>
      <c r="D100" s="11">
        <v>350</v>
      </c>
      <c r="E100" s="11">
        <v>3</v>
      </c>
      <c r="F100" t="s">
        <v>23</v>
      </c>
      <c r="G100">
        <v>3</v>
      </c>
      <c r="I100" t="s">
        <v>23</v>
      </c>
      <c r="J100">
        <v>3</v>
      </c>
      <c r="K100" s="11">
        <v>-5570</v>
      </c>
    </row>
    <row r="101" spans="1:11" x14ac:dyDescent="0.3">
      <c r="A101" s="11">
        <v>41761.599999999999</v>
      </c>
      <c r="B101">
        <v>2428</v>
      </c>
      <c r="C101" s="11">
        <v>17481.599999999999</v>
      </c>
      <c r="D101" s="11">
        <v>20</v>
      </c>
      <c r="E101" s="11">
        <v>10</v>
      </c>
      <c r="F101" t="s">
        <v>23</v>
      </c>
      <c r="G101">
        <v>3</v>
      </c>
      <c r="I101" t="s">
        <v>23</v>
      </c>
      <c r="J101">
        <v>3</v>
      </c>
      <c r="K101" s="11">
        <v>4807.92</v>
      </c>
    </row>
    <row r="102" spans="1:11" x14ac:dyDescent="0.3">
      <c r="A102" s="11">
        <v>17476.060000000001</v>
      </c>
      <c r="B102">
        <v>2903</v>
      </c>
      <c r="C102" s="11">
        <v>2961.0600000000013</v>
      </c>
      <c r="D102" s="11">
        <v>7</v>
      </c>
      <c r="E102" s="11">
        <v>250</v>
      </c>
      <c r="F102" t="s">
        <v>23</v>
      </c>
      <c r="G102">
        <v>3</v>
      </c>
      <c r="I102" t="s">
        <v>23</v>
      </c>
      <c r="J102">
        <v>3</v>
      </c>
      <c r="K102" s="11">
        <v>7978.5999999999985</v>
      </c>
    </row>
    <row r="103" spans="1:11" x14ac:dyDescent="0.3">
      <c r="A103" s="11">
        <v>229104</v>
      </c>
      <c r="B103">
        <v>888</v>
      </c>
      <c r="C103" s="11">
        <v>7104</v>
      </c>
      <c r="D103" s="11">
        <v>300</v>
      </c>
      <c r="E103" s="11">
        <v>260</v>
      </c>
      <c r="F103" t="s">
        <v>23</v>
      </c>
      <c r="G103">
        <v>3</v>
      </c>
      <c r="I103" t="s">
        <v>23</v>
      </c>
      <c r="J103">
        <v>3</v>
      </c>
      <c r="K103" s="11">
        <v>15578.64</v>
      </c>
    </row>
    <row r="104" spans="1:11" x14ac:dyDescent="0.3">
      <c r="A104" s="11">
        <v>19686</v>
      </c>
      <c r="B104">
        <v>1158</v>
      </c>
      <c r="C104" s="11">
        <v>8106</v>
      </c>
      <c r="D104" s="11">
        <v>20</v>
      </c>
      <c r="E104" s="11">
        <v>10</v>
      </c>
      <c r="F104" t="s">
        <v>23</v>
      </c>
      <c r="G104">
        <v>3</v>
      </c>
      <c r="I104" t="s">
        <v>23</v>
      </c>
      <c r="J104">
        <v>3</v>
      </c>
      <c r="K104" s="11">
        <v>15632</v>
      </c>
    </row>
    <row r="105" spans="1:11" x14ac:dyDescent="0.3">
      <c r="A105" s="11">
        <v>5100</v>
      </c>
      <c r="B105">
        <v>500</v>
      </c>
      <c r="C105" s="11">
        <v>3600</v>
      </c>
      <c r="D105" s="11">
        <v>12</v>
      </c>
      <c r="E105" s="11">
        <v>120</v>
      </c>
      <c r="F105" t="s">
        <v>23</v>
      </c>
      <c r="G105">
        <v>3</v>
      </c>
      <c r="I105" t="s">
        <v>23</v>
      </c>
      <c r="J105">
        <v>3</v>
      </c>
      <c r="K105" s="11">
        <v>59860</v>
      </c>
    </row>
    <row r="106" spans="1:11" x14ac:dyDescent="0.3">
      <c r="A106" s="11">
        <v>631125</v>
      </c>
      <c r="B106">
        <v>2475</v>
      </c>
      <c r="C106" s="11">
        <v>12375</v>
      </c>
      <c r="D106" s="11">
        <v>300</v>
      </c>
      <c r="E106" s="11">
        <v>260</v>
      </c>
      <c r="F106" t="s">
        <v>23</v>
      </c>
      <c r="G106">
        <v>3</v>
      </c>
      <c r="I106" t="s">
        <v>23</v>
      </c>
      <c r="J106">
        <v>3</v>
      </c>
      <c r="K106" s="11">
        <v>1942.17</v>
      </c>
    </row>
    <row r="107" spans="1:11" x14ac:dyDescent="0.3">
      <c r="A107" s="11">
        <v>34056</v>
      </c>
      <c r="B107">
        <v>2838</v>
      </c>
      <c r="C107" s="11">
        <v>25542</v>
      </c>
      <c r="D107" s="11">
        <v>12</v>
      </c>
      <c r="E107" s="11">
        <v>250</v>
      </c>
      <c r="F107" t="s">
        <v>24</v>
      </c>
      <c r="G107">
        <v>4</v>
      </c>
      <c r="I107" t="s">
        <v>23</v>
      </c>
      <c r="J107">
        <v>3</v>
      </c>
      <c r="K107" s="11">
        <v>40788</v>
      </c>
    </row>
    <row r="108" spans="1:11" x14ac:dyDescent="0.3">
      <c r="A108" s="11">
        <v>23436</v>
      </c>
      <c r="B108">
        <v>1953</v>
      </c>
      <c r="C108" s="11">
        <v>17577</v>
      </c>
      <c r="D108" s="11">
        <v>12</v>
      </c>
      <c r="E108" s="11">
        <v>260</v>
      </c>
      <c r="F108" t="s">
        <v>24</v>
      </c>
      <c r="G108">
        <v>4</v>
      </c>
      <c r="I108" t="s">
        <v>23</v>
      </c>
      <c r="J108">
        <v>3</v>
      </c>
      <c r="K108" s="11">
        <v>8751.5999999999985</v>
      </c>
    </row>
    <row r="109" spans="1:11" x14ac:dyDescent="0.3">
      <c r="A109" s="11">
        <v>527437.5</v>
      </c>
      <c r="B109">
        <v>4219.5</v>
      </c>
      <c r="C109" s="11">
        <v>21097.5</v>
      </c>
      <c r="D109" s="11">
        <v>125</v>
      </c>
      <c r="E109" s="11">
        <v>260</v>
      </c>
      <c r="F109" t="s">
        <v>24</v>
      </c>
      <c r="G109">
        <v>4</v>
      </c>
      <c r="I109" t="s">
        <v>23</v>
      </c>
      <c r="J109">
        <v>3</v>
      </c>
      <c r="K109" s="11">
        <v>2166.3999999999996</v>
      </c>
    </row>
    <row r="110" spans="1:11" x14ac:dyDescent="0.3">
      <c r="A110" s="11">
        <v>683397</v>
      </c>
      <c r="B110">
        <v>2301</v>
      </c>
      <c r="C110" s="11">
        <v>108147</v>
      </c>
      <c r="D110" s="11">
        <v>300</v>
      </c>
      <c r="E110" s="11">
        <v>5</v>
      </c>
      <c r="F110" t="s">
        <v>24</v>
      </c>
      <c r="G110">
        <v>4</v>
      </c>
      <c r="I110" t="s">
        <v>23</v>
      </c>
      <c r="J110">
        <v>3</v>
      </c>
      <c r="K110" s="11">
        <v>1729.5599999999995</v>
      </c>
    </row>
    <row r="111" spans="1:11" x14ac:dyDescent="0.3">
      <c r="A111" s="11">
        <v>31133.024999999998</v>
      </c>
      <c r="B111">
        <v>4492.5</v>
      </c>
      <c r="C111" s="11">
        <v>8670.5249999999978</v>
      </c>
      <c r="D111" s="11">
        <v>7</v>
      </c>
      <c r="E111" s="11">
        <v>10</v>
      </c>
      <c r="F111" t="s">
        <v>24</v>
      </c>
      <c r="G111">
        <v>4</v>
      </c>
      <c r="I111" t="s">
        <v>23</v>
      </c>
      <c r="J111">
        <v>3</v>
      </c>
      <c r="K111" s="11">
        <v>41073.5</v>
      </c>
    </row>
    <row r="112" spans="1:11" x14ac:dyDescent="0.3">
      <c r="A112" s="11">
        <v>76507.200000000012</v>
      </c>
      <c r="B112">
        <v>3864</v>
      </c>
      <c r="C112" s="11">
        <v>37867.200000000004</v>
      </c>
      <c r="D112" s="11">
        <v>20</v>
      </c>
      <c r="E112" s="11">
        <v>120</v>
      </c>
      <c r="F112" t="s">
        <v>24</v>
      </c>
      <c r="G112">
        <v>4</v>
      </c>
      <c r="I112" t="s">
        <v>23</v>
      </c>
      <c r="J112">
        <v>3</v>
      </c>
      <c r="K112" s="11">
        <v>79655</v>
      </c>
    </row>
    <row r="113" spans="1:11" x14ac:dyDescent="0.3">
      <c r="A113" s="11">
        <v>326922.75</v>
      </c>
      <c r="B113">
        <v>943.5</v>
      </c>
      <c r="C113" s="11">
        <v>81612.75</v>
      </c>
      <c r="D113" s="11">
        <v>350</v>
      </c>
      <c r="E113" s="11">
        <v>250</v>
      </c>
      <c r="F113" t="s">
        <v>24</v>
      </c>
      <c r="G113">
        <v>4</v>
      </c>
      <c r="I113" t="s">
        <v>23</v>
      </c>
      <c r="J113">
        <v>3</v>
      </c>
      <c r="K113" s="11">
        <v>17481.599999999999</v>
      </c>
    </row>
    <row r="114" spans="1:11" x14ac:dyDescent="0.3">
      <c r="A114" s="11">
        <v>90956.25</v>
      </c>
      <c r="B114">
        <v>742.5</v>
      </c>
      <c r="C114" s="11">
        <v>1856.25</v>
      </c>
      <c r="D114" s="11">
        <v>125</v>
      </c>
      <c r="E114" s="11">
        <v>3</v>
      </c>
      <c r="F114" t="s">
        <v>24</v>
      </c>
      <c r="G114">
        <v>4</v>
      </c>
      <c r="I114" t="s">
        <v>23</v>
      </c>
      <c r="J114">
        <v>3</v>
      </c>
      <c r="K114" s="11">
        <v>2961.0600000000013</v>
      </c>
    </row>
    <row r="115" spans="1:11" x14ac:dyDescent="0.3">
      <c r="A115" s="11">
        <v>514524.375</v>
      </c>
      <c r="B115">
        <v>4243.5</v>
      </c>
      <c r="C115" s="11">
        <v>5304.375</v>
      </c>
      <c r="D115" s="11">
        <v>125</v>
      </c>
      <c r="E115" s="11">
        <v>3</v>
      </c>
      <c r="F115" t="s">
        <v>24</v>
      </c>
      <c r="G115">
        <v>4</v>
      </c>
      <c r="I115" t="s">
        <v>23</v>
      </c>
      <c r="J115">
        <v>3</v>
      </c>
      <c r="K115" s="11">
        <v>7104</v>
      </c>
    </row>
    <row r="116" spans="1:11" x14ac:dyDescent="0.3">
      <c r="A116" s="11">
        <v>50052</v>
      </c>
      <c r="B116">
        <v>2580</v>
      </c>
      <c r="C116" s="11">
        <v>24252</v>
      </c>
      <c r="D116" s="11">
        <v>20</v>
      </c>
      <c r="E116" s="11">
        <v>3</v>
      </c>
      <c r="F116" t="s">
        <v>24</v>
      </c>
      <c r="G116">
        <v>4</v>
      </c>
      <c r="I116" t="s">
        <v>23</v>
      </c>
      <c r="J116">
        <v>3</v>
      </c>
      <c r="K116" s="11">
        <v>8106</v>
      </c>
    </row>
    <row r="117" spans="1:11" x14ac:dyDescent="0.3">
      <c r="A117" s="11">
        <v>22302.240000000002</v>
      </c>
      <c r="B117">
        <v>1916</v>
      </c>
      <c r="C117" s="11">
        <v>16554.240000000002</v>
      </c>
      <c r="D117" s="11">
        <v>12</v>
      </c>
      <c r="E117" s="11">
        <v>250</v>
      </c>
      <c r="F117" t="s">
        <v>24</v>
      </c>
      <c r="G117">
        <v>4</v>
      </c>
      <c r="I117" t="s">
        <v>23</v>
      </c>
      <c r="J117">
        <v>3</v>
      </c>
      <c r="K117" s="11">
        <v>3600</v>
      </c>
    </row>
    <row r="118" spans="1:11" x14ac:dyDescent="0.3">
      <c r="A118" s="11">
        <v>74699.700000000012</v>
      </c>
      <c r="B118">
        <v>3850.5</v>
      </c>
      <c r="C118" s="11">
        <v>36194.700000000004</v>
      </c>
      <c r="D118" s="11">
        <v>20</v>
      </c>
      <c r="E118" s="11">
        <v>120</v>
      </c>
      <c r="F118" t="s">
        <v>24</v>
      </c>
      <c r="G118">
        <v>4</v>
      </c>
      <c r="I118" t="s">
        <v>23</v>
      </c>
      <c r="J118">
        <v>3</v>
      </c>
      <c r="K118" s="11">
        <v>12375</v>
      </c>
    </row>
    <row r="119" spans="1:11" x14ac:dyDescent="0.3">
      <c r="A119" s="11">
        <v>407376</v>
      </c>
      <c r="B119">
        <v>1414.5</v>
      </c>
      <c r="C119" s="11">
        <v>53751</v>
      </c>
      <c r="D119" s="11">
        <v>300</v>
      </c>
      <c r="E119" s="11">
        <v>10</v>
      </c>
      <c r="F119" t="s">
        <v>24</v>
      </c>
      <c r="G119">
        <v>4</v>
      </c>
      <c r="I119" t="s">
        <v>24</v>
      </c>
      <c r="J119">
        <v>4</v>
      </c>
      <c r="K119" s="11">
        <v>25542</v>
      </c>
    </row>
    <row r="120" spans="1:11" x14ac:dyDescent="0.3">
      <c r="A120" s="11">
        <v>128880</v>
      </c>
      <c r="B120">
        <v>1074</v>
      </c>
      <c r="C120" s="11">
        <v>0</v>
      </c>
      <c r="D120" s="11">
        <v>125</v>
      </c>
      <c r="E120" s="11">
        <v>260</v>
      </c>
      <c r="F120" t="s">
        <v>24</v>
      </c>
      <c r="G120">
        <v>4</v>
      </c>
      <c r="I120" t="s">
        <v>24</v>
      </c>
      <c r="J120">
        <v>4</v>
      </c>
      <c r="K120" s="11">
        <v>17577</v>
      </c>
    </row>
    <row r="121" spans="1:11" x14ac:dyDescent="0.3">
      <c r="A121" s="11">
        <v>457995</v>
      </c>
      <c r="B121">
        <v>1607</v>
      </c>
      <c r="C121" s="11">
        <v>56245</v>
      </c>
      <c r="D121" s="11">
        <v>300</v>
      </c>
      <c r="E121" s="11">
        <v>10</v>
      </c>
      <c r="F121" t="s">
        <v>24</v>
      </c>
      <c r="G121">
        <v>4</v>
      </c>
      <c r="I121" t="s">
        <v>24</v>
      </c>
      <c r="J121">
        <v>4</v>
      </c>
      <c r="K121" s="11">
        <v>21097.5</v>
      </c>
    </row>
    <row r="122" spans="1:11" x14ac:dyDescent="0.3">
      <c r="A122" s="11">
        <v>53594.100000000006</v>
      </c>
      <c r="B122">
        <v>3801</v>
      </c>
      <c r="C122" s="11">
        <v>15584.100000000002</v>
      </c>
      <c r="D122" s="11">
        <v>15</v>
      </c>
      <c r="E122" s="11">
        <v>10</v>
      </c>
      <c r="F122" t="s">
        <v>24</v>
      </c>
      <c r="G122">
        <v>4</v>
      </c>
      <c r="I122" t="s">
        <v>24</v>
      </c>
      <c r="J122">
        <v>4</v>
      </c>
      <c r="K122" s="11">
        <v>108147</v>
      </c>
    </row>
    <row r="123" spans="1:11" x14ac:dyDescent="0.3">
      <c r="A123" s="11">
        <v>322420</v>
      </c>
      <c r="B123">
        <v>980</v>
      </c>
      <c r="C123" s="11">
        <v>67620</v>
      </c>
      <c r="D123" s="11">
        <v>350</v>
      </c>
      <c r="E123" s="11">
        <v>5</v>
      </c>
      <c r="F123" t="s">
        <v>24</v>
      </c>
      <c r="G123">
        <v>4</v>
      </c>
      <c r="I123" t="s">
        <v>24</v>
      </c>
      <c r="J123">
        <v>4</v>
      </c>
      <c r="K123" s="11">
        <v>8670.5249999999978</v>
      </c>
    </row>
    <row r="124" spans="1:11" x14ac:dyDescent="0.3">
      <c r="A124" s="11">
        <v>19401.66</v>
      </c>
      <c r="B124">
        <v>1738.5</v>
      </c>
      <c r="C124" s="11">
        <v>14186.16</v>
      </c>
      <c r="D124" s="11">
        <v>12</v>
      </c>
      <c r="E124" s="11">
        <v>250</v>
      </c>
      <c r="F124" t="s">
        <v>24</v>
      </c>
      <c r="G124">
        <v>4</v>
      </c>
      <c r="I124" t="s">
        <v>24</v>
      </c>
      <c r="J124">
        <v>4</v>
      </c>
      <c r="K124" s="11">
        <v>37867.200000000004</v>
      </c>
    </row>
    <row r="125" spans="1:11" x14ac:dyDescent="0.3">
      <c r="A125" s="11">
        <v>8107.96</v>
      </c>
      <c r="B125">
        <v>1259</v>
      </c>
      <c r="C125" s="11">
        <v>1812.96</v>
      </c>
      <c r="D125" s="11">
        <v>7</v>
      </c>
      <c r="E125" s="11">
        <v>10</v>
      </c>
      <c r="F125" t="s">
        <v>24</v>
      </c>
      <c r="G125">
        <v>4</v>
      </c>
      <c r="I125" t="s">
        <v>24</v>
      </c>
      <c r="J125">
        <v>4</v>
      </c>
      <c r="K125" s="11">
        <v>81612.75</v>
      </c>
    </row>
    <row r="126" spans="1:11" x14ac:dyDescent="0.3">
      <c r="A126" s="11">
        <v>184989</v>
      </c>
      <c r="B126">
        <v>574.5</v>
      </c>
      <c r="C126" s="11">
        <v>35619</v>
      </c>
      <c r="D126" s="11">
        <v>350</v>
      </c>
      <c r="E126" s="11">
        <v>250</v>
      </c>
      <c r="F126" t="s">
        <v>24</v>
      </c>
      <c r="G126">
        <v>4</v>
      </c>
      <c r="I126" t="s">
        <v>24</v>
      </c>
      <c r="J126">
        <v>4</v>
      </c>
      <c r="K126" s="11">
        <v>1856.25</v>
      </c>
    </row>
    <row r="127" spans="1:11" x14ac:dyDescent="0.3">
      <c r="A127" s="11">
        <v>1038082.5</v>
      </c>
      <c r="B127">
        <v>3802.5</v>
      </c>
      <c r="C127" s="11">
        <v>87457.5</v>
      </c>
      <c r="D127" s="11">
        <v>300</v>
      </c>
      <c r="E127" s="11">
        <v>5</v>
      </c>
      <c r="F127" t="s">
        <v>24</v>
      </c>
      <c r="G127">
        <v>4</v>
      </c>
      <c r="I127" t="s">
        <v>24</v>
      </c>
      <c r="J127">
        <v>4</v>
      </c>
      <c r="K127" s="11">
        <v>5304.375</v>
      </c>
    </row>
    <row r="128" spans="1:11" x14ac:dyDescent="0.3">
      <c r="A128" s="11">
        <v>50163.75</v>
      </c>
      <c r="B128">
        <v>3675</v>
      </c>
      <c r="C128" s="11">
        <v>13413.75</v>
      </c>
      <c r="D128" s="11">
        <v>15</v>
      </c>
      <c r="E128" s="11">
        <v>10</v>
      </c>
      <c r="F128" t="s">
        <v>24</v>
      </c>
      <c r="G128">
        <v>4</v>
      </c>
      <c r="I128" t="s">
        <v>24</v>
      </c>
      <c r="J128">
        <v>4</v>
      </c>
      <c r="K128" s="11">
        <v>24252</v>
      </c>
    </row>
    <row r="129" spans="1:11" x14ac:dyDescent="0.3">
      <c r="A129" s="11">
        <v>430452.75</v>
      </c>
      <c r="B129">
        <v>1351.5</v>
      </c>
      <c r="C129" s="11">
        <v>79062.75</v>
      </c>
      <c r="D129" s="11">
        <v>350</v>
      </c>
      <c r="E129" s="11">
        <v>250</v>
      </c>
      <c r="F129" t="s">
        <v>24</v>
      </c>
      <c r="G129">
        <v>4</v>
      </c>
      <c r="I129" t="s">
        <v>24</v>
      </c>
      <c r="J129">
        <v>4</v>
      </c>
      <c r="K129" s="11">
        <v>16554.240000000002</v>
      </c>
    </row>
    <row r="130" spans="1:11" x14ac:dyDescent="0.3">
      <c r="A130" s="11">
        <v>35872.199999999997</v>
      </c>
      <c r="B130">
        <v>2628</v>
      </c>
      <c r="C130" s="11">
        <v>9592.1999999999971</v>
      </c>
      <c r="D130" s="11">
        <v>15</v>
      </c>
      <c r="E130" s="11">
        <v>120</v>
      </c>
      <c r="F130" t="s">
        <v>24</v>
      </c>
      <c r="G130">
        <v>4</v>
      </c>
      <c r="I130" t="s">
        <v>24</v>
      </c>
      <c r="J130">
        <v>4</v>
      </c>
      <c r="K130" s="11">
        <v>36194.700000000004</v>
      </c>
    </row>
    <row r="131" spans="1:11" x14ac:dyDescent="0.3">
      <c r="A131" s="11">
        <v>387618.75</v>
      </c>
      <c r="B131">
        <v>3445.5</v>
      </c>
      <c r="C131" s="11">
        <v>-25841.25</v>
      </c>
      <c r="D131" s="11">
        <v>125</v>
      </c>
      <c r="E131" s="11">
        <v>3</v>
      </c>
      <c r="F131" t="s">
        <v>24</v>
      </c>
      <c r="G131">
        <v>4</v>
      </c>
      <c r="I131" t="s">
        <v>24</v>
      </c>
      <c r="J131">
        <v>4</v>
      </c>
      <c r="K131" s="11">
        <v>53751</v>
      </c>
    </row>
    <row r="132" spans="1:11" x14ac:dyDescent="0.3">
      <c r="A132" s="11">
        <v>6885</v>
      </c>
      <c r="B132">
        <v>510</v>
      </c>
      <c r="C132" s="11">
        <v>1785</v>
      </c>
      <c r="D132" s="11">
        <v>15</v>
      </c>
      <c r="E132" s="11">
        <v>120</v>
      </c>
      <c r="F132" t="s">
        <v>24</v>
      </c>
      <c r="G132">
        <v>4</v>
      </c>
      <c r="I132" t="s">
        <v>24</v>
      </c>
      <c r="J132">
        <v>4</v>
      </c>
      <c r="K132" s="11">
        <v>0</v>
      </c>
    </row>
    <row r="133" spans="1:11" x14ac:dyDescent="0.3">
      <c r="A133" s="11">
        <v>38021.399999999994</v>
      </c>
      <c r="B133">
        <v>3520.5</v>
      </c>
      <c r="C133" s="11">
        <v>27459.899999999998</v>
      </c>
      <c r="D133" s="11">
        <v>12</v>
      </c>
      <c r="E133" s="11">
        <v>260</v>
      </c>
      <c r="F133" t="s">
        <v>24</v>
      </c>
      <c r="G133">
        <v>4</v>
      </c>
      <c r="I133" t="s">
        <v>24</v>
      </c>
      <c r="J133">
        <v>4</v>
      </c>
      <c r="K133" s="11">
        <v>56245</v>
      </c>
    </row>
    <row r="134" spans="1:11" x14ac:dyDescent="0.3">
      <c r="A134" s="11">
        <v>15774.36</v>
      </c>
      <c r="B134">
        <v>2532</v>
      </c>
      <c r="C134" s="11">
        <v>3114.3599999999997</v>
      </c>
      <c r="D134" s="11">
        <v>7</v>
      </c>
      <c r="E134" s="11">
        <v>10</v>
      </c>
      <c r="F134" t="s">
        <v>24</v>
      </c>
      <c r="G134">
        <v>4</v>
      </c>
      <c r="I134" t="s">
        <v>24</v>
      </c>
      <c r="J134">
        <v>4</v>
      </c>
      <c r="K134" s="11">
        <v>15584.100000000002</v>
      </c>
    </row>
    <row r="135" spans="1:11" x14ac:dyDescent="0.3">
      <c r="A135" s="11">
        <v>468072</v>
      </c>
      <c r="B135">
        <v>1773</v>
      </c>
      <c r="C135" s="11">
        <v>24822</v>
      </c>
      <c r="D135" s="11">
        <v>300</v>
      </c>
      <c r="E135" s="11">
        <v>5</v>
      </c>
      <c r="F135" t="s">
        <v>24</v>
      </c>
      <c r="G135">
        <v>4</v>
      </c>
      <c r="I135" t="s">
        <v>24</v>
      </c>
      <c r="J135">
        <v>4</v>
      </c>
      <c r="K135" s="11">
        <v>67620</v>
      </c>
    </row>
    <row r="136" spans="1:11" x14ac:dyDescent="0.3">
      <c r="A136" s="11">
        <v>44358.8</v>
      </c>
      <c r="B136">
        <v>2579</v>
      </c>
      <c r="C136" s="11">
        <v>18568.800000000003</v>
      </c>
      <c r="D136" s="11">
        <v>20</v>
      </c>
      <c r="E136" s="11">
        <v>3</v>
      </c>
      <c r="F136" t="s">
        <v>24</v>
      </c>
      <c r="G136">
        <v>4</v>
      </c>
      <c r="I136" t="s">
        <v>24</v>
      </c>
      <c r="J136">
        <v>4</v>
      </c>
      <c r="K136" s="11">
        <v>14186.16</v>
      </c>
    </row>
    <row r="137" spans="1:11" x14ac:dyDescent="0.3">
      <c r="A137" s="11">
        <v>360899</v>
      </c>
      <c r="B137">
        <v>1199</v>
      </c>
      <c r="C137" s="11">
        <v>49159</v>
      </c>
      <c r="D137" s="11">
        <v>350</v>
      </c>
      <c r="E137" s="11">
        <v>5</v>
      </c>
      <c r="F137" t="s">
        <v>24</v>
      </c>
      <c r="G137">
        <v>4</v>
      </c>
      <c r="I137" t="s">
        <v>24</v>
      </c>
      <c r="J137">
        <v>4</v>
      </c>
      <c r="K137" s="11">
        <v>1812.96</v>
      </c>
    </row>
    <row r="138" spans="1:11" x14ac:dyDescent="0.3">
      <c r="A138" s="11">
        <v>10423.200000000001</v>
      </c>
      <c r="B138">
        <v>606</v>
      </c>
      <c r="C138" s="11">
        <v>4363.2000000000007</v>
      </c>
      <c r="D138" s="11">
        <v>20</v>
      </c>
      <c r="E138" s="11">
        <v>120</v>
      </c>
      <c r="F138" t="s">
        <v>24</v>
      </c>
      <c r="G138">
        <v>4</v>
      </c>
      <c r="I138" t="s">
        <v>24</v>
      </c>
      <c r="J138">
        <v>4</v>
      </c>
      <c r="K138" s="11">
        <v>35619</v>
      </c>
    </row>
    <row r="139" spans="1:11" x14ac:dyDescent="0.3">
      <c r="A139" s="11">
        <v>20578.5</v>
      </c>
      <c r="B139">
        <v>1614</v>
      </c>
      <c r="C139" s="11">
        <v>4438.5</v>
      </c>
      <c r="D139" s="11">
        <v>15</v>
      </c>
      <c r="E139" s="11">
        <v>10</v>
      </c>
      <c r="F139" t="s">
        <v>24</v>
      </c>
      <c r="G139">
        <v>4</v>
      </c>
      <c r="I139" t="s">
        <v>24</v>
      </c>
      <c r="J139">
        <v>4</v>
      </c>
      <c r="K139" s="11">
        <v>87457.5</v>
      </c>
    </row>
    <row r="140" spans="1:11" x14ac:dyDescent="0.3">
      <c r="A140" s="11">
        <v>15083.25</v>
      </c>
      <c r="B140">
        <v>2535</v>
      </c>
      <c r="C140" s="11">
        <v>2408.25</v>
      </c>
      <c r="D140" s="11">
        <v>7</v>
      </c>
      <c r="E140" s="11">
        <v>10</v>
      </c>
      <c r="F140" t="s">
        <v>24</v>
      </c>
      <c r="G140">
        <v>4</v>
      </c>
      <c r="I140" t="s">
        <v>24</v>
      </c>
      <c r="J140">
        <v>4</v>
      </c>
      <c r="K140" s="11">
        <v>13413.75</v>
      </c>
    </row>
    <row r="141" spans="1:11" x14ac:dyDescent="0.3">
      <c r="A141" s="11">
        <v>4301.8500000000004</v>
      </c>
      <c r="B141">
        <v>723</v>
      </c>
      <c r="C141" s="11">
        <v>686.85000000000014</v>
      </c>
      <c r="D141" s="11">
        <v>7</v>
      </c>
      <c r="E141" s="11">
        <v>10</v>
      </c>
      <c r="F141" t="s">
        <v>24</v>
      </c>
      <c r="G141">
        <v>4</v>
      </c>
      <c r="I141" t="s">
        <v>24</v>
      </c>
      <c r="J141">
        <v>4</v>
      </c>
      <c r="K141" s="11">
        <v>79062.75</v>
      </c>
    </row>
    <row r="142" spans="1:11" x14ac:dyDescent="0.3">
      <c r="A142" s="11">
        <v>7137.9</v>
      </c>
      <c r="B142">
        <v>1030</v>
      </c>
      <c r="C142" s="11">
        <v>1987.8999999999996</v>
      </c>
      <c r="D142" s="11">
        <v>7</v>
      </c>
      <c r="E142" s="11">
        <v>10</v>
      </c>
      <c r="F142" t="s">
        <v>25</v>
      </c>
      <c r="G142">
        <v>5</v>
      </c>
      <c r="I142" t="s">
        <v>24</v>
      </c>
      <c r="J142">
        <v>4</v>
      </c>
      <c r="K142" s="11">
        <v>9592.1999999999971</v>
      </c>
    </row>
    <row r="143" spans="1:11" x14ac:dyDescent="0.3">
      <c r="A143" s="11">
        <v>2508.66</v>
      </c>
      <c r="B143">
        <v>362</v>
      </c>
      <c r="C143" s="11">
        <v>698.65999999999985</v>
      </c>
      <c r="D143" s="11">
        <v>7</v>
      </c>
      <c r="E143" s="11">
        <v>120</v>
      </c>
      <c r="F143" t="s">
        <v>25</v>
      </c>
      <c r="G143">
        <v>5</v>
      </c>
      <c r="I143" t="s">
        <v>24</v>
      </c>
      <c r="J143">
        <v>4</v>
      </c>
      <c r="K143" s="11">
        <v>-25841.25</v>
      </c>
    </row>
    <row r="144" spans="1:11" x14ac:dyDescent="0.3">
      <c r="A144" s="11">
        <v>269892</v>
      </c>
      <c r="B144">
        <v>918</v>
      </c>
      <c r="C144" s="11">
        <v>40392</v>
      </c>
      <c r="D144" s="11">
        <v>300</v>
      </c>
      <c r="E144" s="11">
        <v>10</v>
      </c>
      <c r="F144" t="s">
        <v>25</v>
      </c>
      <c r="G144">
        <v>5</v>
      </c>
      <c r="I144" t="s">
        <v>24</v>
      </c>
      <c r="J144">
        <v>4</v>
      </c>
      <c r="K144" s="11">
        <v>1785</v>
      </c>
    </row>
    <row r="145" spans="1:11" x14ac:dyDescent="0.3">
      <c r="A145" s="11">
        <v>508032</v>
      </c>
      <c r="B145">
        <v>1728</v>
      </c>
      <c r="C145" s="11">
        <v>76032</v>
      </c>
      <c r="D145" s="11">
        <v>300</v>
      </c>
      <c r="E145" s="11">
        <v>10</v>
      </c>
      <c r="F145" t="s">
        <v>25</v>
      </c>
      <c r="G145">
        <v>5</v>
      </c>
      <c r="I145" t="s">
        <v>24</v>
      </c>
      <c r="J145">
        <v>4</v>
      </c>
      <c r="K145" s="11">
        <v>27459.899999999998</v>
      </c>
    </row>
    <row r="146" spans="1:11" x14ac:dyDescent="0.3">
      <c r="A146" s="11">
        <v>278810</v>
      </c>
      <c r="B146">
        <v>2276</v>
      </c>
      <c r="C146" s="11">
        <v>5690</v>
      </c>
      <c r="D146" s="11">
        <v>125</v>
      </c>
      <c r="E146" s="11">
        <v>260</v>
      </c>
      <c r="F146" t="s">
        <v>25</v>
      </c>
      <c r="G146">
        <v>5</v>
      </c>
      <c r="I146" t="s">
        <v>24</v>
      </c>
      <c r="J146">
        <v>4</v>
      </c>
      <c r="K146" s="11">
        <v>3114.3599999999997</v>
      </c>
    </row>
    <row r="147" spans="1:11" x14ac:dyDescent="0.3">
      <c r="A147" s="11">
        <v>16121.4</v>
      </c>
      <c r="B147">
        <v>831</v>
      </c>
      <c r="C147" s="11">
        <v>7811.4</v>
      </c>
      <c r="D147" s="11">
        <v>20</v>
      </c>
      <c r="E147" s="11">
        <v>3</v>
      </c>
      <c r="F147" t="s">
        <v>25</v>
      </c>
      <c r="G147">
        <v>5</v>
      </c>
      <c r="I147" t="s">
        <v>24</v>
      </c>
      <c r="J147">
        <v>4</v>
      </c>
      <c r="K147" s="11">
        <v>24822</v>
      </c>
    </row>
    <row r="148" spans="1:11" x14ac:dyDescent="0.3">
      <c r="A148" s="11">
        <v>840384</v>
      </c>
      <c r="B148">
        <v>2918</v>
      </c>
      <c r="C148" s="11">
        <v>110884</v>
      </c>
      <c r="D148" s="11">
        <v>300</v>
      </c>
      <c r="E148" s="11">
        <v>10</v>
      </c>
      <c r="F148" t="s">
        <v>25</v>
      </c>
      <c r="G148">
        <v>5</v>
      </c>
      <c r="I148" t="s">
        <v>24</v>
      </c>
      <c r="J148">
        <v>4</v>
      </c>
      <c r="K148" s="11">
        <v>18568.800000000003</v>
      </c>
    </row>
    <row r="149" spans="1:11" x14ac:dyDescent="0.3">
      <c r="A149" s="11">
        <v>9976.32</v>
      </c>
      <c r="B149">
        <v>866</v>
      </c>
      <c r="C149" s="11">
        <v>7378.32</v>
      </c>
      <c r="D149" s="11">
        <v>12</v>
      </c>
      <c r="E149" s="11">
        <v>250</v>
      </c>
      <c r="F149" t="s">
        <v>25</v>
      </c>
      <c r="G149">
        <v>5</v>
      </c>
      <c r="I149" t="s">
        <v>24</v>
      </c>
      <c r="J149">
        <v>4</v>
      </c>
      <c r="K149" s="11">
        <v>49159</v>
      </c>
    </row>
    <row r="150" spans="1:11" x14ac:dyDescent="0.3">
      <c r="A150" s="11">
        <v>29697</v>
      </c>
      <c r="B150">
        <v>1563</v>
      </c>
      <c r="C150" s="11">
        <v>14067</v>
      </c>
      <c r="D150" s="11">
        <v>20</v>
      </c>
      <c r="E150" s="11">
        <v>3</v>
      </c>
      <c r="F150" t="s">
        <v>25</v>
      </c>
      <c r="G150">
        <v>5</v>
      </c>
      <c r="I150" t="s">
        <v>24</v>
      </c>
      <c r="J150">
        <v>4</v>
      </c>
      <c r="K150" s="11">
        <v>4363.2000000000007</v>
      </c>
    </row>
    <row r="151" spans="1:11" x14ac:dyDescent="0.3">
      <c r="A151" s="11">
        <v>15474.55</v>
      </c>
      <c r="B151">
        <v>2327</v>
      </c>
      <c r="C151" s="11">
        <v>3839.5499999999993</v>
      </c>
      <c r="D151" s="11">
        <v>7</v>
      </c>
      <c r="E151" s="11">
        <v>10</v>
      </c>
      <c r="F151" t="s">
        <v>25</v>
      </c>
      <c r="G151">
        <v>5</v>
      </c>
      <c r="I151" t="s">
        <v>24</v>
      </c>
      <c r="J151">
        <v>4</v>
      </c>
      <c r="K151" s="11">
        <v>4438.5</v>
      </c>
    </row>
    <row r="152" spans="1:11" x14ac:dyDescent="0.3">
      <c r="A152" s="11">
        <v>480340</v>
      </c>
      <c r="B152">
        <v>1460</v>
      </c>
      <c r="C152" s="11">
        <v>100740</v>
      </c>
      <c r="D152" s="11">
        <v>350</v>
      </c>
      <c r="E152" s="11">
        <v>5</v>
      </c>
      <c r="F152" t="s">
        <v>25</v>
      </c>
      <c r="G152">
        <v>5</v>
      </c>
      <c r="I152" t="s">
        <v>24</v>
      </c>
      <c r="J152">
        <v>4</v>
      </c>
      <c r="K152" s="11">
        <v>2408.25</v>
      </c>
    </row>
    <row r="153" spans="1:11" x14ac:dyDescent="0.3">
      <c r="A153" s="11">
        <v>21573</v>
      </c>
      <c r="B153">
        <v>1530</v>
      </c>
      <c r="C153" s="11">
        <v>6273</v>
      </c>
      <c r="D153" s="11">
        <v>15</v>
      </c>
      <c r="E153" s="11">
        <v>120</v>
      </c>
      <c r="F153" t="s">
        <v>25</v>
      </c>
      <c r="G153">
        <v>5</v>
      </c>
      <c r="I153" t="s">
        <v>24</v>
      </c>
      <c r="J153">
        <v>4</v>
      </c>
      <c r="K153" s="11">
        <v>686.85000000000014</v>
      </c>
    </row>
    <row r="154" spans="1:11" x14ac:dyDescent="0.3">
      <c r="A154" s="11">
        <v>17604.900000000001</v>
      </c>
      <c r="B154">
        <v>1262</v>
      </c>
      <c r="C154" s="11">
        <v>4984.9000000000015</v>
      </c>
      <c r="D154" s="11">
        <v>15</v>
      </c>
      <c r="E154" s="11">
        <v>120</v>
      </c>
      <c r="F154" t="s">
        <v>25</v>
      </c>
      <c r="G154">
        <v>5</v>
      </c>
      <c r="I154" t="s">
        <v>25</v>
      </c>
      <c r="J154">
        <v>5</v>
      </c>
      <c r="K154" s="11">
        <v>1987.8999999999996</v>
      </c>
    </row>
    <row r="155" spans="1:11" x14ac:dyDescent="0.3">
      <c r="A155" s="11">
        <v>474858</v>
      </c>
      <c r="B155">
        <v>1702</v>
      </c>
      <c r="C155" s="11">
        <v>49358</v>
      </c>
      <c r="D155" s="11">
        <v>300</v>
      </c>
      <c r="E155" s="11">
        <v>10</v>
      </c>
      <c r="F155" t="s">
        <v>25</v>
      </c>
      <c r="G155">
        <v>5</v>
      </c>
      <c r="I155" t="s">
        <v>25</v>
      </c>
      <c r="J155">
        <v>5</v>
      </c>
      <c r="K155" s="11">
        <v>698.65999999999985</v>
      </c>
    </row>
    <row r="156" spans="1:11" x14ac:dyDescent="0.3">
      <c r="A156" s="11">
        <v>191231.25</v>
      </c>
      <c r="B156">
        <v>1645</v>
      </c>
      <c r="C156" s="11">
        <v>-6168.75</v>
      </c>
      <c r="D156" s="11">
        <v>125</v>
      </c>
      <c r="E156" s="11">
        <v>260</v>
      </c>
      <c r="F156" t="s">
        <v>25</v>
      </c>
      <c r="G156">
        <v>5</v>
      </c>
      <c r="I156" t="s">
        <v>25</v>
      </c>
      <c r="J156">
        <v>5</v>
      </c>
      <c r="K156" s="11">
        <v>40392</v>
      </c>
    </row>
    <row r="157" spans="1:11" x14ac:dyDescent="0.3">
      <c r="A157" s="11">
        <v>1655.08</v>
      </c>
      <c r="B157">
        <v>257</v>
      </c>
      <c r="C157" s="11">
        <v>370.07999999999993</v>
      </c>
      <c r="D157" s="11">
        <v>7</v>
      </c>
      <c r="E157" s="11">
        <v>10</v>
      </c>
      <c r="F157" t="s">
        <v>25</v>
      </c>
      <c r="G157">
        <v>5</v>
      </c>
      <c r="I157" t="s">
        <v>25</v>
      </c>
      <c r="J157">
        <v>5</v>
      </c>
      <c r="K157" s="11">
        <v>76032</v>
      </c>
    </row>
    <row r="158" spans="1:11" x14ac:dyDescent="0.3">
      <c r="A158" s="11">
        <v>7051.8</v>
      </c>
      <c r="B158">
        <v>1095</v>
      </c>
      <c r="C158" s="11">
        <v>1576.8000000000002</v>
      </c>
      <c r="D158" s="11">
        <v>7</v>
      </c>
      <c r="E158" s="11">
        <v>10</v>
      </c>
      <c r="F158" t="s">
        <v>25</v>
      </c>
      <c r="G158">
        <v>5</v>
      </c>
      <c r="I158" t="s">
        <v>25</v>
      </c>
      <c r="J158">
        <v>5</v>
      </c>
      <c r="K158" s="11">
        <v>5690</v>
      </c>
    </row>
    <row r="159" spans="1:11" x14ac:dyDescent="0.3">
      <c r="A159" s="11">
        <v>530621</v>
      </c>
      <c r="B159">
        <v>1666</v>
      </c>
      <c r="C159" s="11">
        <v>97461</v>
      </c>
      <c r="D159" s="11">
        <v>350</v>
      </c>
      <c r="E159" s="11">
        <v>5</v>
      </c>
      <c r="F159" t="s">
        <v>25</v>
      </c>
      <c r="G159">
        <v>5</v>
      </c>
      <c r="I159" t="s">
        <v>25</v>
      </c>
      <c r="J159">
        <v>5</v>
      </c>
      <c r="K159" s="11">
        <v>7811.4</v>
      </c>
    </row>
    <row r="160" spans="1:11" x14ac:dyDescent="0.3">
      <c r="A160" s="11">
        <v>3344.25</v>
      </c>
      <c r="B160">
        <v>245</v>
      </c>
      <c r="C160" s="11">
        <v>894.25</v>
      </c>
      <c r="D160" s="11">
        <v>15</v>
      </c>
      <c r="E160" s="11">
        <v>120</v>
      </c>
      <c r="F160" t="s">
        <v>25</v>
      </c>
      <c r="G160">
        <v>5</v>
      </c>
      <c r="I160" t="s">
        <v>25</v>
      </c>
      <c r="J160">
        <v>5</v>
      </c>
      <c r="K160" s="11">
        <v>110884</v>
      </c>
    </row>
    <row r="161" spans="1:11" x14ac:dyDescent="0.3">
      <c r="A161" s="11">
        <v>9609.6</v>
      </c>
      <c r="B161">
        <v>880</v>
      </c>
      <c r="C161" s="11">
        <v>6969.6</v>
      </c>
      <c r="D161" s="11">
        <v>12</v>
      </c>
      <c r="E161" s="11">
        <v>250</v>
      </c>
      <c r="F161" t="s">
        <v>25</v>
      </c>
      <c r="G161">
        <v>5</v>
      </c>
      <c r="I161" t="s">
        <v>25</v>
      </c>
      <c r="J161">
        <v>5</v>
      </c>
      <c r="K161" s="11">
        <v>7378.32</v>
      </c>
    </row>
    <row r="162" spans="1:11" x14ac:dyDescent="0.3">
      <c r="A162" s="11">
        <v>12066.6</v>
      </c>
      <c r="B162">
        <v>663</v>
      </c>
      <c r="C162" s="11">
        <v>5436.6</v>
      </c>
      <c r="D162" s="11">
        <v>20</v>
      </c>
      <c r="E162" s="11">
        <v>3</v>
      </c>
      <c r="F162" t="s">
        <v>25</v>
      </c>
      <c r="G162">
        <v>5</v>
      </c>
      <c r="I162" t="s">
        <v>25</v>
      </c>
      <c r="J162">
        <v>5</v>
      </c>
      <c r="K162" s="11">
        <v>14067</v>
      </c>
    </row>
    <row r="163" spans="1:11" x14ac:dyDescent="0.3">
      <c r="A163" s="11">
        <v>728595</v>
      </c>
      <c r="B163">
        <v>2313</v>
      </c>
      <c r="C163" s="11">
        <v>127215</v>
      </c>
      <c r="D163" s="11">
        <v>350</v>
      </c>
      <c r="E163" s="11">
        <v>5</v>
      </c>
      <c r="F163" t="s">
        <v>25</v>
      </c>
      <c r="G163">
        <v>5</v>
      </c>
      <c r="I163" t="s">
        <v>25</v>
      </c>
      <c r="J163">
        <v>5</v>
      </c>
      <c r="K163" s="11">
        <v>3839.5499999999993</v>
      </c>
    </row>
    <row r="164" spans="1:11" x14ac:dyDescent="0.3">
      <c r="A164" s="11">
        <v>159570</v>
      </c>
      <c r="B164">
        <v>591</v>
      </c>
      <c r="C164" s="11">
        <v>11820</v>
      </c>
      <c r="D164" s="11">
        <v>300</v>
      </c>
      <c r="E164" s="11">
        <v>10</v>
      </c>
      <c r="F164" t="s">
        <v>25</v>
      </c>
      <c r="G164">
        <v>5</v>
      </c>
      <c r="I164" t="s">
        <v>25</v>
      </c>
      <c r="J164">
        <v>5</v>
      </c>
      <c r="K164" s="11">
        <v>100740</v>
      </c>
    </row>
    <row r="165" spans="1:11" x14ac:dyDescent="0.3">
      <c r="A165" s="11">
        <v>10665</v>
      </c>
      <c r="B165">
        <v>790</v>
      </c>
      <c r="C165" s="11">
        <v>2765</v>
      </c>
      <c r="D165" s="11">
        <v>15</v>
      </c>
      <c r="E165" s="11">
        <v>120</v>
      </c>
      <c r="F165" t="s">
        <v>25</v>
      </c>
      <c r="G165">
        <v>5</v>
      </c>
      <c r="I165" t="s">
        <v>25</v>
      </c>
      <c r="J165">
        <v>5</v>
      </c>
      <c r="K165" s="11">
        <v>6273</v>
      </c>
    </row>
    <row r="166" spans="1:11" x14ac:dyDescent="0.3">
      <c r="A166" s="11">
        <v>38362.5</v>
      </c>
      <c r="B166">
        <v>341</v>
      </c>
      <c r="C166" s="11">
        <v>-2557.5</v>
      </c>
      <c r="D166" s="11">
        <v>125</v>
      </c>
      <c r="E166" s="11">
        <v>250</v>
      </c>
      <c r="F166" t="s">
        <v>25</v>
      </c>
      <c r="G166">
        <v>5</v>
      </c>
      <c r="I166" t="s">
        <v>25</v>
      </c>
      <c r="J166">
        <v>5</v>
      </c>
      <c r="K166" s="11">
        <v>4984.9000000000015</v>
      </c>
    </row>
    <row r="167" spans="1:11" x14ac:dyDescent="0.3">
      <c r="A167" s="11">
        <v>36702</v>
      </c>
      <c r="B167">
        <v>2039</v>
      </c>
      <c r="C167" s="11">
        <v>16312</v>
      </c>
      <c r="D167" s="11">
        <v>20</v>
      </c>
      <c r="E167" s="11">
        <v>260</v>
      </c>
      <c r="F167" t="s">
        <v>25</v>
      </c>
      <c r="G167">
        <v>5</v>
      </c>
      <c r="I167" t="s">
        <v>25</v>
      </c>
      <c r="J167">
        <v>5</v>
      </c>
      <c r="K167" s="11">
        <v>49358</v>
      </c>
    </row>
    <row r="168" spans="1:11" x14ac:dyDescent="0.3">
      <c r="A168" s="11">
        <v>159421.25</v>
      </c>
      <c r="B168">
        <v>1433</v>
      </c>
      <c r="C168" s="11">
        <v>-12538.75</v>
      </c>
      <c r="D168" s="11">
        <v>125</v>
      </c>
      <c r="E168" s="11">
        <v>260</v>
      </c>
      <c r="F168" t="s">
        <v>25</v>
      </c>
      <c r="G168">
        <v>5</v>
      </c>
      <c r="I168" t="s">
        <v>25</v>
      </c>
      <c r="J168">
        <v>5</v>
      </c>
      <c r="K168" s="11">
        <v>-6168.75</v>
      </c>
    </row>
    <row r="169" spans="1:11" x14ac:dyDescent="0.3">
      <c r="A169" s="11">
        <v>22271.040000000001</v>
      </c>
      <c r="B169">
        <v>2109</v>
      </c>
      <c r="C169" s="11">
        <v>15944.04</v>
      </c>
      <c r="D169" s="11">
        <v>12</v>
      </c>
      <c r="E169" s="11">
        <v>250</v>
      </c>
      <c r="F169" t="s">
        <v>25</v>
      </c>
      <c r="G169">
        <v>5</v>
      </c>
      <c r="I169" t="s">
        <v>25</v>
      </c>
      <c r="J169">
        <v>5</v>
      </c>
      <c r="K169" s="11">
        <v>370.07999999999993</v>
      </c>
    </row>
    <row r="170" spans="1:11" x14ac:dyDescent="0.3">
      <c r="A170" s="11">
        <v>28100.16</v>
      </c>
      <c r="B170">
        <v>2661</v>
      </c>
      <c r="C170" s="11">
        <v>20117.16</v>
      </c>
      <c r="D170" s="11">
        <v>12</v>
      </c>
      <c r="E170" s="11">
        <v>5</v>
      </c>
      <c r="F170" t="s">
        <v>25</v>
      </c>
      <c r="G170">
        <v>5</v>
      </c>
      <c r="I170" t="s">
        <v>25</v>
      </c>
      <c r="J170">
        <v>5</v>
      </c>
      <c r="K170" s="11">
        <v>1576.8000000000002</v>
      </c>
    </row>
    <row r="171" spans="1:11" x14ac:dyDescent="0.3">
      <c r="A171" s="11">
        <v>29979.599999999999</v>
      </c>
      <c r="B171">
        <v>1743</v>
      </c>
      <c r="C171" s="11">
        <v>12549.599999999999</v>
      </c>
      <c r="D171" s="11">
        <v>20</v>
      </c>
      <c r="E171" s="11">
        <v>3</v>
      </c>
      <c r="F171" t="s">
        <v>25</v>
      </c>
      <c r="G171">
        <v>5</v>
      </c>
      <c r="I171" t="s">
        <v>25</v>
      </c>
      <c r="J171">
        <v>5</v>
      </c>
      <c r="K171" s="11">
        <v>97461</v>
      </c>
    </row>
    <row r="172" spans="1:11" x14ac:dyDescent="0.3">
      <c r="A172" s="11">
        <v>60200</v>
      </c>
      <c r="B172">
        <v>200</v>
      </c>
      <c r="C172" s="11">
        <v>8200</v>
      </c>
      <c r="D172" s="11">
        <v>350</v>
      </c>
      <c r="E172" s="11">
        <v>5</v>
      </c>
      <c r="F172" t="s">
        <v>25</v>
      </c>
      <c r="G172">
        <v>5</v>
      </c>
      <c r="I172" t="s">
        <v>25</v>
      </c>
      <c r="J172">
        <v>5</v>
      </c>
      <c r="K172" s="11">
        <v>894.25</v>
      </c>
    </row>
    <row r="173" spans="1:11" x14ac:dyDescent="0.3">
      <c r="A173" s="11">
        <v>305730</v>
      </c>
      <c r="B173">
        <v>2844</v>
      </c>
      <c r="C173" s="11">
        <v>-35550</v>
      </c>
      <c r="D173" s="11">
        <v>125</v>
      </c>
      <c r="E173" s="11">
        <v>260</v>
      </c>
      <c r="F173" t="s">
        <v>25</v>
      </c>
      <c r="G173">
        <v>5</v>
      </c>
      <c r="I173" t="s">
        <v>25</v>
      </c>
      <c r="J173">
        <v>5</v>
      </c>
      <c r="K173" s="11">
        <v>6969.6</v>
      </c>
    </row>
    <row r="174" spans="1:11" x14ac:dyDescent="0.3">
      <c r="A174" s="11">
        <v>848172.5</v>
      </c>
      <c r="B174">
        <v>2851</v>
      </c>
      <c r="C174" s="11">
        <v>106912.5</v>
      </c>
      <c r="D174" s="11">
        <v>350</v>
      </c>
      <c r="E174" s="11">
        <v>10</v>
      </c>
      <c r="F174" t="s">
        <v>25</v>
      </c>
      <c r="G174">
        <v>5</v>
      </c>
      <c r="I174" t="s">
        <v>25</v>
      </c>
      <c r="J174">
        <v>5</v>
      </c>
      <c r="K174" s="11">
        <v>5436.6</v>
      </c>
    </row>
    <row r="175" spans="1:11" x14ac:dyDescent="0.3">
      <c r="A175" s="11">
        <v>36031.5</v>
      </c>
      <c r="B175">
        <v>2826</v>
      </c>
      <c r="C175" s="11">
        <v>7771.5</v>
      </c>
      <c r="D175" s="11">
        <v>15</v>
      </c>
      <c r="E175" s="11">
        <v>120</v>
      </c>
      <c r="F175" t="s">
        <v>25</v>
      </c>
      <c r="G175">
        <v>5</v>
      </c>
      <c r="I175" t="s">
        <v>25</v>
      </c>
      <c r="J175">
        <v>5</v>
      </c>
      <c r="K175" s="11">
        <v>127215</v>
      </c>
    </row>
    <row r="176" spans="1:11" x14ac:dyDescent="0.3">
      <c r="A176" s="11">
        <v>18421.2</v>
      </c>
      <c r="B176">
        <v>1806</v>
      </c>
      <c r="C176" s="11">
        <v>13003.2</v>
      </c>
      <c r="D176" s="11">
        <v>12</v>
      </c>
      <c r="E176" s="11">
        <v>250</v>
      </c>
      <c r="F176" t="s">
        <v>25</v>
      </c>
      <c r="G176">
        <v>5</v>
      </c>
      <c r="I176" t="s">
        <v>25</v>
      </c>
      <c r="J176">
        <v>5</v>
      </c>
      <c r="K176" s="11">
        <v>11820</v>
      </c>
    </row>
    <row r="177" spans="1:11" x14ac:dyDescent="0.3">
      <c r="A177" s="11">
        <v>32670</v>
      </c>
      <c r="B177">
        <v>2178</v>
      </c>
      <c r="C177" s="11">
        <v>10890</v>
      </c>
      <c r="D177" s="11">
        <v>15</v>
      </c>
      <c r="E177" s="11">
        <v>3</v>
      </c>
      <c r="F177" t="s">
        <v>26</v>
      </c>
      <c r="G177">
        <v>6</v>
      </c>
      <c r="I177" t="s">
        <v>25</v>
      </c>
      <c r="J177">
        <v>5</v>
      </c>
      <c r="K177" s="11">
        <v>2765</v>
      </c>
    </row>
    <row r="178" spans="1:11" x14ac:dyDescent="0.3">
      <c r="A178" s="11">
        <v>13320</v>
      </c>
      <c r="B178">
        <v>888</v>
      </c>
      <c r="C178" s="11">
        <v>4440</v>
      </c>
      <c r="D178" s="11">
        <v>15</v>
      </c>
      <c r="E178" s="11">
        <v>3</v>
      </c>
      <c r="F178" t="s">
        <v>26</v>
      </c>
      <c r="G178">
        <v>6</v>
      </c>
      <c r="I178" t="s">
        <v>25</v>
      </c>
      <c r="J178">
        <v>5</v>
      </c>
      <c r="K178" s="11">
        <v>-2557.5</v>
      </c>
    </row>
    <row r="179" spans="1:11" x14ac:dyDescent="0.3">
      <c r="A179" s="11">
        <v>37050</v>
      </c>
      <c r="B179">
        <v>2470</v>
      </c>
      <c r="C179" s="11">
        <v>12350</v>
      </c>
      <c r="D179" s="11">
        <v>15</v>
      </c>
      <c r="E179" s="11">
        <v>3</v>
      </c>
      <c r="F179" t="s">
        <v>26</v>
      </c>
      <c r="G179">
        <v>6</v>
      </c>
      <c r="I179" t="s">
        <v>25</v>
      </c>
      <c r="J179">
        <v>5</v>
      </c>
      <c r="K179" s="11">
        <v>16312</v>
      </c>
    </row>
    <row r="180" spans="1:11" x14ac:dyDescent="0.3">
      <c r="A180" s="11">
        <v>30216</v>
      </c>
      <c r="B180">
        <v>2518</v>
      </c>
      <c r="C180" s="11">
        <v>22662</v>
      </c>
      <c r="D180" s="11">
        <v>12</v>
      </c>
      <c r="E180" s="11">
        <v>5</v>
      </c>
      <c r="F180" t="s">
        <v>26</v>
      </c>
      <c r="G180">
        <v>6</v>
      </c>
      <c r="I180" t="s">
        <v>25</v>
      </c>
      <c r="J180">
        <v>5</v>
      </c>
      <c r="K180" s="11">
        <v>-12538.75</v>
      </c>
    </row>
    <row r="181" spans="1:11" x14ac:dyDescent="0.3">
      <c r="A181" s="11">
        <v>37980</v>
      </c>
      <c r="B181">
        <v>1899</v>
      </c>
      <c r="C181" s="11">
        <v>18990</v>
      </c>
      <c r="D181" s="11">
        <v>20</v>
      </c>
      <c r="E181" s="11">
        <v>5</v>
      </c>
      <c r="F181" t="s">
        <v>26</v>
      </c>
      <c r="G181">
        <v>6</v>
      </c>
      <c r="I181" t="s">
        <v>25</v>
      </c>
      <c r="J181">
        <v>5</v>
      </c>
      <c r="K181" s="11">
        <v>15944.04</v>
      </c>
    </row>
    <row r="182" spans="1:11" x14ac:dyDescent="0.3">
      <c r="A182" s="11">
        <v>18540</v>
      </c>
      <c r="B182">
        <v>1545</v>
      </c>
      <c r="C182" s="11">
        <v>13905</v>
      </c>
      <c r="D182" s="11">
        <v>12</v>
      </c>
      <c r="E182" s="11">
        <v>5</v>
      </c>
      <c r="F182" t="s">
        <v>26</v>
      </c>
      <c r="G182">
        <v>6</v>
      </c>
      <c r="I182" t="s">
        <v>25</v>
      </c>
      <c r="J182">
        <v>5</v>
      </c>
      <c r="K182" s="11">
        <v>20117.16</v>
      </c>
    </row>
    <row r="183" spans="1:11" x14ac:dyDescent="0.3">
      <c r="A183" s="11">
        <v>37050</v>
      </c>
      <c r="B183">
        <v>2470</v>
      </c>
      <c r="C183" s="11">
        <v>12350</v>
      </c>
      <c r="D183" s="11">
        <v>15</v>
      </c>
      <c r="E183" s="11">
        <v>5</v>
      </c>
      <c r="F183" t="s">
        <v>26</v>
      </c>
      <c r="G183">
        <v>6</v>
      </c>
      <c r="I183" t="s">
        <v>25</v>
      </c>
      <c r="J183">
        <v>5</v>
      </c>
      <c r="K183" s="11">
        <v>12549.599999999999</v>
      </c>
    </row>
    <row r="184" spans="1:11" x14ac:dyDescent="0.3">
      <c r="A184" s="11">
        <v>30216</v>
      </c>
      <c r="B184">
        <v>2518</v>
      </c>
      <c r="C184" s="11">
        <v>22662</v>
      </c>
      <c r="D184" s="11">
        <v>12</v>
      </c>
      <c r="E184" s="11">
        <v>10</v>
      </c>
      <c r="F184" t="s">
        <v>26</v>
      </c>
      <c r="G184">
        <v>6</v>
      </c>
      <c r="I184" t="s">
        <v>25</v>
      </c>
      <c r="J184">
        <v>5</v>
      </c>
      <c r="K184" s="11">
        <v>8200</v>
      </c>
    </row>
    <row r="185" spans="1:11" x14ac:dyDescent="0.3">
      <c r="A185" s="11">
        <v>352100</v>
      </c>
      <c r="B185">
        <v>1006</v>
      </c>
      <c r="C185" s="11">
        <v>90540</v>
      </c>
      <c r="D185" s="11">
        <v>350</v>
      </c>
      <c r="E185" s="11">
        <v>10</v>
      </c>
      <c r="F185" t="s">
        <v>26</v>
      </c>
      <c r="G185">
        <v>6</v>
      </c>
      <c r="I185" t="s">
        <v>25</v>
      </c>
      <c r="J185">
        <v>5</v>
      </c>
      <c r="K185" s="11">
        <v>-35550</v>
      </c>
    </row>
    <row r="186" spans="1:11" x14ac:dyDescent="0.3">
      <c r="A186" s="11">
        <v>352100</v>
      </c>
      <c r="B186">
        <v>1006</v>
      </c>
      <c r="C186" s="11">
        <v>90540</v>
      </c>
      <c r="D186" s="11">
        <v>350</v>
      </c>
      <c r="E186" s="11">
        <v>120</v>
      </c>
      <c r="F186" t="s">
        <v>26</v>
      </c>
      <c r="G186">
        <v>6</v>
      </c>
      <c r="I186" t="s">
        <v>25</v>
      </c>
      <c r="J186">
        <v>5</v>
      </c>
      <c r="K186" s="11">
        <v>106912.5</v>
      </c>
    </row>
    <row r="187" spans="1:11" x14ac:dyDescent="0.3">
      <c r="A187" s="11">
        <v>18540</v>
      </c>
      <c r="B187">
        <v>1545</v>
      </c>
      <c r="C187" s="11">
        <v>13905</v>
      </c>
      <c r="D187" s="11">
        <v>12</v>
      </c>
      <c r="E187" s="11">
        <v>120</v>
      </c>
      <c r="F187" t="s">
        <v>26</v>
      </c>
      <c r="G187">
        <v>6</v>
      </c>
      <c r="I187" t="s">
        <v>25</v>
      </c>
      <c r="J187">
        <v>5</v>
      </c>
      <c r="K187" s="11">
        <v>7771.5</v>
      </c>
    </row>
    <row r="188" spans="1:11" x14ac:dyDescent="0.3">
      <c r="A188" s="11">
        <v>32670</v>
      </c>
      <c r="B188">
        <v>2178</v>
      </c>
      <c r="C188" s="11">
        <v>10890</v>
      </c>
      <c r="D188" s="11">
        <v>15</v>
      </c>
      <c r="E188" s="11">
        <v>250</v>
      </c>
      <c r="F188" t="s">
        <v>26</v>
      </c>
      <c r="G188">
        <v>6</v>
      </c>
      <c r="I188" t="s">
        <v>25</v>
      </c>
      <c r="J188">
        <v>5</v>
      </c>
      <c r="K188" s="11">
        <v>13003.2</v>
      </c>
    </row>
    <row r="189" spans="1:11" x14ac:dyDescent="0.3">
      <c r="A189" s="11">
        <v>13320</v>
      </c>
      <c r="B189">
        <v>888</v>
      </c>
      <c r="C189" s="11">
        <v>4440</v>
      </c>
      <c r="D189" s="11">
        <v>15</v>
      </c>
      <c r="E189" s="11">
        <v>250</v>
      </c>
      <c r="F189" t="s">
        <v>26</v>
      </c>
      <c r="G189">
        <v>6</v>
      </c>
      <c r="I189" t="s">
        <v>26</v>
      </c>
      <c r="J189">
        <v>6</v>
      </c>
      <c r="K189" s="11">
        <v>10890</v>
      </c>
    </row>
    <row r="190" spans="1:11" x14ac:dyDescent="0.3">
      <c r="A190" s="11">
        <v>37980</v>
      </c>
      <c r="B190">
        <v>1899</v>
      </c>
      <c r="C190" s="11">
        <v>18990</v>
      </c>
      <c r="D190" s="11">
        <v>20</v>
      </c>
      <c r="E190" s="11">
        <v>260</v>
      </c>
      <c r="F190" t="s">
        <v>26</v>
      </c>
      <c r="G190">
        <v>6</v>
      </c>
      <c r="I190" t="s">
        <v>26</v>
      </c>
      <c r="J190">
        <v>6</v>
      </c>
      <c r="K190" s="11">
        <v>4440</v>
      </c>
    </row>
    <row r="191" spans="1:11" x14ac:dyDescent="0.3">
      <c r="A191" s="11">
        <v>89966.25</v>
      </c>
      <c r="B191">
        <v>727</v>
      </c>
      <c r="C191" s="11">
        <v>2726.25</v>
      </c>
      <c r="D191" s="11">
        <v>125</v>
      </c>
      <c r="E191" s="11">
        <v>10</v>
      </c>
      <c r="F191" t="s">
        <v>26</v>
      </c>
      <c r="G191">
        <v>6</v>
      </c>
      <c r="I191" t="s">
        <v>26</v>
      </c>
      <c r="J191">
        <v>6</v>
      </c>
      <c r="K191" s="11">
        <v>12350</v>
      </c>
    </row>
    <row r="192" spans="1:11" x14ac:dyDescent="0.3">
      <c r="A192" s="11">
        <v>97391.25</v>
      </c>
      <c r="B192">
        <v>787</v>
      </c>
      <c r="C192" s="11">
        <v>2951.25</v>
      </c>
      <c r="D192" s="11">
        <v>125</v>
      </c>
      <c r="E192" s="11">
        <v>10</v>
      </c>
      <c r="F192" t="s">
        <v>26</v>
      </c>
      <c r="G192">
        <v>6</v>
      </c>
      <c r="I192" t="s">
        <v>26</v>
      </c>
      <c r="J192">
        <v>6</v>
      </c>
      <c r="K192" s="11">
        <v>22662</v>
      </c>
    </row>
    <row r="193" spans="1:11" x14ac:dyDescent="0.3">
      <c r="A193" s="11">
        <v>89966.25</v>
      </c>
      <c r="B193">
        <v>727</v>
      </c>
      <c r="C193" s="11">
        <v>2726.25</v>
      </c>
      <c r="D193" s="11">
        <v>125</v>
      </c>
      <c r="E193" s="11">
        <v>250</v>
      </c>
      <c r="F193" t="s">
        <v>26</v>
      </c>
      <c r="G193">
        <v>6</v>
      </c>
      <c r="I193" t="s">
        <v>26</v>
      </c>
      <c r="J193">
        <v>6</v>
      </c>
      <c r="K193" s="11">
        <v>18990</v>
      </c>
    </row>
    <row r="194" spans="1:11" x14ac:dyDescent="0.3">
      <c r="A194" s="11">
        <v>97391.25</v>
      </c>
      <c r="B194">
        <v>787</v>
      </c>
      <c r="C194" s="11">
        <v>2951.25</v>
      </c>
      <c r="D194" s="11">
        <v>125</v>
      </c>
      <c r="E194" s="11">
        <v>250</v>
      </c>
      <c r="F194" t="s">
        <v>26</v>
      </c>
      <c r="G194">
        <v>6</v>
      </c>
      <c r="I194" t="s">
        <v>26</v>
      </c>
      <c r="J194">
        <v>6</v>
      </c>
      <c r="K194" s="11">
        <v>13905</v>
      </c>
    </row>
    <row r="195" spans="1:11" x14ac:dyDescent="0.3">
      <c r="A195" s="11">
        <v>13429.92</v>
      </c>
      <c r="B195">
        <v>1142</v>
      </c>
      <c r="C195" s="11">
        <v>10003.92</v>
      </c>
      <c r="D195" s="11">
        <v>12</v>
      </c>
      <c r="E195" s="11">
        <v>5</v>
      </c>
      <c r="F195" t="s">
        <v>26</v>
      </c>
      <c r="G195">
        <v>6</v>
      </c>
      <c r="I195" t="s">
        <v>26</v>
      </c>
      <c r="J195">
        <v>6</v>
      </c>
      <c r="K195" s="11">
        <v>12350</v>
      </c>
    </row>
    <row r="196" spans="1:11" x14ac:dyDescent="0.3">
      <c r="A196" s="11">
        <v>13429.92</v>
      </c>
      <c r="B196">
        <v>1142</v>
      </c>
      <c r="C196" s="11">
        <v>10003.92</v>
      </c>
      <c r="D196" s="11">
        <v>12</v>
      </c>
      <c r="E196" s="11">
        <v>10</v>
      </c>
      <c r="F196" t="s">
        <v>26</v>
      </c>
      <c r="G196">
        <v>6</v>
      </c>
      <c r="I196" t="s">
        <v>26</v>
      </c>
      <c r="J196">
        <v>6</v>
      </c>
      <c r="K196" s="11">
        <v>22662</v>
      </c>
    </row>
    <row r="197" spans="1:11" x14ac:dyDescent="0.3">
      <c r="A197" s="11">
        <v>81095</v>
      </c>
      <c r="B197">
        <v>662</v>
      </c>
      <c r="C197" s="11">
        <v>1655</v>
      </c>
      <c r="D197" s="11">
        <v>125</v>
      </c>
      <c r="E197" s="11">
        <v>10</v>
      </c>
      <c r="F197" t="s">
        <v>26</v>
      </c>
      <c r="G197">
        <v>6</v>
      </c>
      <c r="I197" t="s">
        <v>26</v>
      </c>
      <c r="J197">
        <v>6</v>
      </c>
      <c r="K197" s="11">
        <v>90540</v>
      </c>
    </row>
    <row r="198" spans="1:11" x14ac:dyDescent="0.3">
      <c r="A198" s="11">
        <v>81095</v>
      </c>
      <c r="B198">
        <v>662</v>
      </c>
      <c r="C198" s="11">
        <v>1655</v>
      </c>
      <c r="D198" s="11">
        <v>125</v>
      </c>
      <c r="E198" s="11">
        <v>250</v>
      </c>
      <c r="F198" t="s">
        <v>26</v>
      </c>
      <c r="G198">
        <v>6</v>
      </c>
      <c r="I198" t="s">
        <v>26</v>
      </c>
      <c r="J198">
        <v>6</v>
      </c>
      <c r="K198" s="11">
        <v>90540</v>
      </c>
    </row>
    <row r="199" spans="1:11" x14ac:dyDescent="0.3">
      <c r="A199" s="11">
        <v>200499</v>
      </c>
      <c r="B199">
        <v>689</v>
      </c>
      <c r="C199" s="11">
        <v>28249</v>
      </c>
      <c r="D199" s="11">
        <v>300</v>
      </c>
      <c r="E199" s="11">
        <v>3</v>
      </c>
      <c r="F199" t="s">
        <v>26</v>
      </c>
      <c r="G199">
        <v>6</v>
      </c>
      <c r="I199" t="s">
        <v>26</v>
      </c>
      <c r="J199">
        <v>6</v>
      </c>
      <c r="K199" s="11">
        <v>13905</v>
      </c>
    </row>
    <row r="200" spans="1:11" x14ac:dyDescent="0.3">
      <c r="A200" s="11">
        <v>22127.64</v>
      </c>
      <c r="B200">
        <v>1901</v>
      </c>
      <c r="C200" s="11">
        <v>16424.64</v>
      </c>
      <c r="D200" s="11">
        <v>12</v>
      </c>
      <c r="E200" s="11">
        <v>5</v>
      </c>
      <c r="F200" t="s">
        <v>26</v>
      </c>
      <c r="G200">
        <v>6</v>
      </c>
      <c r="I200" t="s">
        <v>26</v>
      </c>
      <c r="J200">
        <v>6</v>
      </c>
      <c r="K200" s="11">
        <v>10890</v>
      </c>
    </row>
    <row r="201" spans="1:11" x14ac:dyDescent="0.3">
      <c r="A201" s="11">
        <v>22127.64</v>
      </c>
      <c r="B201">
        <v>1901</v>
      </c>
      <c r="C201" s="11">
        <v>16424.64</v>
      </c>
      <c r="D201" s="11">
        <v>12</v>
      </c>
      <c r="E201" s="11">
        <v>10</v>
      </c>
      <c r="F201" t="s">
        <v>26</v>
      </c>
      <c r="G201">
        <v>6</v>
      </c>
      <c r="I201" t="s">
        <v>26</v>
      </c>
      <c r="J201">
        <v>6</v>
      </c>
      <c r="K201" s="11">
        <v>4440</v>
      </c>
    </row>
    <row r="202" spans="1:11" x14ac:dyDescent="0.3">
      <c r="A202" s="11">
        <v>200499</v>
      </c>
      <c r="B202">
        <v>689</v>
      </c>
      <c r="C202" s="11">
        <v>28249</v>
      </c>
      <c r="D202" s="11">
        <v>300</v>
      </c>
      <c r="E202" s="11">
        <v>10</v>
      </c>
      <c r="F202" t="s">
        <v>26</v>
      </c>
      <c r="G202">
        <v>6</v>
      </c>
      <c r="I202" t="s">
        <v>26</v>
      </c>
      <c r="J202">
        <v>6</v>
      </c>
      <c r="K202" s="11">
        <v>18990</v>
      </c>
    </row>
    <row r="203" spans="1:11" x14ac:dyDescent="0.3">
      <c r="A203" s="11">
        <v>190362.5</v>
      </c>
      <c r="B203">
        <v>1570</v>
      </c>
      <c r="C203" s="11">
        <v>1962.5</v>
      </c>
      <c r="D203" s="11">
        <v>125</v>
      </c>
      <c r="E203" s="11">
        <v>10</v>
      </c>
      <c r="F203" t="s">
        <v>26</v>
      </c>
      <c r="G203">
        <v>6</v>
      </c>
      <c r="I203" t="s">
        <v>26</v>
      </c>
      <c r="J203">
        <v>6</v>
      </c>
      <c r="K203" s="11">
        <v>2726.25</v>
      </c>
    </row>
    <row r="204" spans="1:11" x14ac:dyDescent="0.3">
      <c r="A204" s="11">
        <v>190362.5</v>
      </c>
      <c r="B204">
        <v>1570</v>
      </c>
      <c r="C204" s="11">
        <v>1962.5</v>
      </c>
      <c r="D204" s="11">
        <v>125</v>
      </c>
      <c r="E204" s="11">
        <v>250</v>
      </c>
      <c r="F204" t="s">
        <v>26</v>
      </c>
      <c r="G204">
        <v>6</v>
      </c>
      <c r="I204" t="s">
        <v>26</v>
      </c>
      <c r="J204">
        <v>6</v>
      </c>
      <c r="K204" s="11">
        <v>2951.25</v>
      </c>
    </row>
    <row r="205" spans="1:11" x14ac:dyDescent="0.3">
      <c r="A205" s="11">
        <v>282435</v>
      </c>
      <c r="B205">
        <v>991</v>
      </c>
      <c r="C205" s="11">
        <v>34685</v>
      </c>
      <c r="D205" s="11">
        <v>300</v>
      </c>
      <c r="E205" s="11">
        <v>3</v>
      </c>
      <c r="F205" t="s">
        <v>26</v>
      </c>
      <c r="G205">
        <v>6</v>
      </c>
      <c r="I205" t="s">
        <v>26</v>
      </c>
      <c r="J205">
        <v>6</v>
      </c>
      <c r="K205" s="11">
        <v>2726.25</v>
      </c>
    </row>
    <row r="206" spans="1:11" x14ac:dyDescent="0.3">
      <c r="A206" s="11">
        <v>282435</v>
      </c>
      <c r="B206">
        <v>991</v>
      </c>
      <c r="C206" s="11">
        <v>34685</v>
      </c>
      <c r="D206" s="11">
        <v>300</v>
      </c>
      <c r="E206" s="11">
        <v>10</v>
      </c>
      <c r="F206" t="s">
        <v>26</v>
      </c>
      <c r="G206">
        <v>6</v>
      </c>
      <c r="I206" t="s">
        <v>26</v>
      </c>
      <c r="J206">
        <v>6</v>
      </c>
      <c r="K206" s="11">
        <v>2951.25</v>
      </c>
    </row>
    <row r="207" spans="1:11" x14ac:dyDescent="0.3">
      <c r="A207" s="11">
        <v>200165</v>
      </c>
      <c r="B207">
        <v>602</v>
      </c>
      <c r="C207" s="11">
        <v>43645</v>
      </c>
      <c r="D207" s="11">
        <v>350</v>
      </c>
      <c r="E207" s="11">
        <v>10</v>
      </c>
      <c r="F207" t="s">
        <v>26</v>
      </c>
      <c r="G207">
        <v>6</v>
      </c>
      <c r="I207" t="s">
        <v>26</v>
      </c>
      <c r="J207">
        <v>6</v>
      </c>
      <c r="K207" s="11">
        <v>10003.92</v>
      </c>
    </row>
    <row r="208" spans="1:11" x14ac:dyDescent="0.3">
      <c r="A208" s="11">
        <v>200165</v>
      </c>
      <c r="B208">
        <v>602</v>
      </c>
      <c r="C208" s="11">
        <v>43645</v>
      </c>
      <c r="D208" s="11">
        <v>350</v>
      </c>
      <c r="E208" s="11">
        <v>120</v>
      </c>
      <c r="F208" t="s">
        <v>26</v>
      </c>
      <c r="G208">
        <v>6</v>
      </c>
      <c r="I208" t="s">
        <v>26</v>
      </c>
      <c r="J208">
        <v>6</v>
      </c>
      <c r="K208" s="11">
        <v>10003.92</v>
      </c>
    </row>
    <row r="209" spans="1:11" x14ac:dyDescent="0.3">
      <c r="A209" s="11">
        <v>40100.400000000001</v>
      </c>
      <c r="B209">
        <v>2844</v>
      </c>
      <c r="C209" s="11">
        <v>11660.400000000001</v>
      </c>
      <c r="D209" s="11">
        <v>15</v>
      </c>
      <c r="E209" s="11">
        <v>3</v>
      </c>
      <c r="F209" t="s">
        <v>26</v>
      </c>
      <c r="G209">
        <v>6</v>
      </c>
      <c r="I209" t="s">
        <v>26</v>
      </c>
      <c r="J209">
        <v>6</v>
      </c>
      <c r="K209" s="11">
        <v>1655</v>
      </c>
    </row>
    <row r="210" spans="1:11" x14ac:dyDescent="0.3">
      <c r="A210" s="11">
        <v>492184</v>
      </c>
      <c r="B210">
        <v>1496</v>
      </c>
      <c r="C210" s="11">
        <v>103224</v>
      </c>
      <c r="D210" s="11">
        <v>350</v>
      </c>
      <c r="E210" s="11">
        <v>10</v>
      </c>
      <c r="F210" t="s">
        <v>26</v>
      </c>
      <c r="G210">
        <v>6</v>
      </c>
      <c r="I210" t="s">
        <v>26</v>
      </c>
      <c r="J210">
        <v>6</v>
      </c>
      <c r="K210" s="11">
        <v>1655</v>
      </c>
    </row>
    <row r="211" spans="1:11" x14ac:dyDescent="0.3">
      <c r="A211" s="11">
        <v>492184</v>
      </c>
      <c r="B211">
        <v>1496</v>
      </c>
      <c r="C211" s="11">
        <v>103224</v>
      </c>
      <c r="D211" s="11">
        <v>350</v>
      </c>
      <c r="E211" s="11">
        <v>120</v>
      </c>
      <c r="F211" t="s">
        <v>26</v>
      </c>
      <c r="G211">
        <v>6</v>
      </c>
      <c r="I211" t="s">
        <v>26</v>
      </c>
      <c r="J211">
        <v>6</v>
      </c>
      <c r="K211" s="11">
        <v>28249</v>
      </c>
    </row>
    <row r="212" spans="1:11" x14ac:dyDescent="0.3">
      <c r="A212" s="11">
        <v>9856.84</v>
      </c>
      <c r="B212">
        <v>1498</v>
      </c>
      <c r="C212" s="11">
        <v>2366.84</v>
      </c>
      <c r="D212" s="11">
        <v>7</v>
      </c>
      <c r="E212" s="11">
        <v>120</v>
      </c>
      <c r="F212" t="s">
        <v>26</v>
      </c>
      <c r="G212">
        <v>6</v>
      </c>
      <c r="I212" t="s">
        <v>26</v>
      </c>
      <c r="J212">
        <v>6</v>
      </c>
      <c r="K212" s="11">
        <v>16424.64</v>
      </c>
    </row>
    <row r="213" spans="1:11" x14ac:dyDescent="0.3">
      <c r="A213" s="11">
        <v>40100.400000000001</v>
      </c>
      <c r="B213">
        <v>2844</v>
      </c>
      <c r="C213" s="11">
        <v>11660.400000000001</v>
      </c>
      <c r="D213" s="11">
        <v>15</v>
      </c>
      <c r="E213" s="11">
        <v>250</v>
      </c>
      <c r="F213" t="s">
        <v>26</v>
      </c>
      <c r="G213">
        <v>6</v>
      </c>
      <c r="I213" t="s">
        <v>26</v>
      </c>
      <c r="J213">
        <v>6</v>
      </c>
      <c r="K213" s="11">
        <v>16424.64</v>
      </c>
    </row>
    <row r="214" spans="1:11" x14ac:dyDescent="0.3">
      <c r="A214" s="11">
        <v>9856.84</v>
      </c>
      <c r="B214">
        <v>1498</v>
      </c>
      <c r="C214" s="11">
        <v>2366.84</v>
      </c>
      <c r="D214" s="11">
        <v>7</v>
      </c>
      <c r="E214" s="11">
        <v>250</v>
      </c>
      <c r="F214" t="s">
        <v>26</v>
      </c>
      <c r="G214">
        <v>6</v>
      </c>
      <c r="I214" t="s">
        <v>26</v>
      </c>
      <c r="J214">
        <v>6</v>
      </c>
      <c r="K214" s="11">
        <v>28249</v>
      </c>
    </row>
    <row r="215" spans="1:11" x14ac:dyDescent="0.3">
      <c r="A215" s="11">
        <v>7388.85</v>
      </c>
      <c r="B215">
        <v>1135</v>
      </c>
      <c r="C215" s="11">
        <v>1713.8500000000004</v>
      </c>
      <c r="D215" s="11">
        <v>7</v>
      </c>
      <c r="E215" s="11">
        <v>120</v>
      </c>
      <c r="F215" t="s">
        <v>26</v>
      </c>
      <c r="G215">
        <v>6</v>
      </c>
      <c r="I215" t="s">
        <v>26</v>
      </c>
      <c r="J215">
        <v>6</v>
      </c>
      <c r="K215" s="11">
        <v>1962.5</v>
      </c>
    </row>
    <row r="216" spans="1:11" x14ac:dyDescent="0.3">
      <c r="A216" s="11">
        <v>7388.85</v>
      </c>
      <c r="B216">
        <v>1135</v>
      </c>
      <c r="C216" s="11">
        <v>1713.8500000000004</v>
      </c>
      <c r="D216" s="11">
        <v>7</v>
      </c>
      <c r="E216" s="11">
        <v>260</v>
      </c>
      <c r="F216" t="s">
        <v>26</v>
      </c>
      <c r="G216">
        <v>6</v>
      </c>
      <c r="I216" t="s">
        <v>26</v>
      </c>
      <c r="J216">
        <v>6</v>
      </c>
      <c r="K216" s="11">
        <v>1962.5</v>
      </c>
    </row>
    <row r="217" spans="1:11" x14ac:dyDescent="0.3">
      <c r="A217" s="11">
        <v>124992</v>
      </c>
      <c r="B217">
        <v>448</v>
      </c>
      <c r="C217" s="11">
        <v>12992</v>
      </c>
      <c r="D217" s="11">
        <v>300</v>
      </c>
      <c r="E217" s="11">
        <v>3</v>
      </c>
      <c r="F217" t="s">
        <v>26</v>
      </c>
      <c r="G217">
        <v>6</v>
      </c>
      <c r="I217" t="s">
        <v>26</v>
      </c>
      <c r="J217">
        <v>6</v>
      </c>
      <c r="K217" s="11">
        <v>34685</v>
      </c>
    </row>
    <row r="218" spans="1:11" x14ac:dyDescent="0.3">
      <c r="A218" s="11">
        <v>124992</v>
      </c>
      <c r="B218">
        <v>448</v>
      </c>
      <c r="C218" s="11">
        <v>12992</v>
      </c>
      <c r="D218" s="11">
        <v>300</v>
      </c>
      <c r="E218" s="11">
        <v>10</v>
      </c>
      <c r="F218" t="s">
        <v>26</v>
      </c>
      <c r="G218">
        <v>6</v>
      </c>
      <c r="I218" t="s">
        <v>26</v>
      </c>
      <c r="J218">
        <v>6</v>
      </c>
      <c r="K218" s="11">
        <v>34685</v>
      </c>
    </row>
    <row r="219" spans="1:11" x14ac:dyDescent="0.3">
      <c r="A219" s="11">
        <v>23588.799999999999</v>
      </c>
      <c r="B219">
        <v>1282</v>
      </c>
      <c r="C219" s="11">
        <v>10768.8</v>
      </c>
      <c r="D219" s="11">
        <v>20</v>
      </c>
      <c r="E219" s="11">
        <v>5</v>
      </c>
      <c r="F219" t="s">
        <v>26</v>
      </c>
      <c r="G219">
        <v>6</v>
      </c>
      <c r="I219" t="s">
        <v>26</v>
      </c>
      <c r="J219">
        <v>6</v>
      </c>
      <c r="K219" s="11">
        <v>43645</v>
      </c>
    </row>
    <row r="220" spans="1:11" x14ac:dyDescent="0.3">
      <c r="A220" s="11">
        <v>23588.799999999999</v>
      </c>
      <c r="B220">
        <v>1282</v>
      </c>
      <c r="C220" s="11">
        <v>10768.8</v>
      </c>
      <c r="D220" s="11">
        <v>20</v>
      </c>
      <c r="E220" s="11">
        <v>260</v>
      </c>
      <c r="F220" t="s">
        <v>26</v>
      </c>
      <c r="G220">
        <v>6</v>
      </c>
      <c r="I220" t="s">
        <v>26</v>
      </c>
      <c r="J220">
        <v>6</v>
      </c>
      <c r="K220" s="11">
        <v>43645</v>
      </c>
    </row>
    <row r="221" spans="1:11" x14ac:dyDescent="0.3">
      <c r="A221" s="11">
        <v>13027.2</v>
      </c>
      <c r="B221">
        <v>708</v>
      </c>
      <c r="C221" s="11">
        <v>5947.2000000000007</v>
      </c>
      <c r="D221" s="11">
        <v>20</v>
      </c>
      <c r="E221" s="11">
        <v>5</v>
      </c>
      <c r="F221" t="s">
        <v>26</v>
      </c>
      <c r="G221">
        <v>6</v>
      </c>
      <c r="I221" t="s">
        <v>26</v>
      </c>
      <c r="J221">
        <v>6</v>
      </c>
      <c r="K221" s="11">
        <v>11660.400000000001</v>
      </c>
    </row>
    <row r="222" spans="1:11" x14ac:dyDescent="0.3">
      <c r="A222" s="11">
        <v>25134.400000000001</v>
      </c>
      <c r="B222">
        <v>1366</v>
      </c>
      <c r="C222" s="11">
        <v>11474.400000000001</v>
      </c>
      <c r="D222" s="11">
        <v>20</v>
      </c>
      <c r="E222" s="11">
        <v>10</v>
      </c>
      <c r="F222" t="s">
        <v>26</v>
      </c>
      <c r="G222">
        <v>6</v>
      </c>
      <c r="I222" t="s">
        <v>26</v>
      </c>
      <c r="J222">
        <v>6</v>
      </c>
      <c r="K222" s="11">
        <v>103224</v>
      </c>
    </row>
    <row r="223" spans="1:11" x14ac:dyDescent="0.3">
      <c r="A223" s="11">
        <v>678960</v>
      </c>
      <c r="B223">
        <v>2460</v>
      </c>
      <c r="C223" s="11">
        <v>63960</v>
      </c>
      <c r="D223" s="11">
        <v>300</v>
      </c>
      <c r="E223" s="11">
        <v>10</v>
      </c>
      <c r="F223" t="s">
        <v>26</v>
      </c>
      <c r="G223">
        <v>6</v>
      </c>
      <c r="I223" t="s">
        <v>26</v>
      </c>
      <c r="J223">
        <v>6</v>
      </c>
      <c r="K223" s="11">
        <v>103224</v>
      </c>
    </row>
    <row r="224" spans="1:11" x14ac:dyDescent="0.3">
      <c r="A224" s="11">
        <v>18721.080000000002</v>
      </c>
      <c r="B224">
        <v>2907</v>
      </c>
      <c r="C224" s="11">
        <v>4186.0800000000017</v>
      </c>
      <c r="D224" s="11">
        <v>7</v>
      </c>
      <c r="E224" s="11">
        <v>120</v>
      </c>
      <c r="F224" t="s">
        <v>26</v>
      </c>
      <c r="G224">
        <v>6</v>
      </c>
      <c r="I224" t="s">
        <v>26</v>
      </c>
      <c r="J224">
        <v>6</v>
      </c>
      <c r="K224" s="11">
        <v>2366.84</v>
      </c>
    </row>
    <row r="225" spans="1:11" x14ac:dyDescent="0.3">
      <c r="A225" s="11">
        <v>15056.72</v>
      </c>
      <c r="B225">
        <v>2338</v>
      </c>
      <c r="C225" s="11">
        <v>3366.7199999999993</v>
      </c>
      <c r="D225" s="11">
        <v>7</v>
      </c>
      <c r="E225" s="11">
        <v>120</v>
      </c>
      <c r="F225" t="s">
        <v>26</v>
      </c>
      <c r="G225">
        <v>6</v>
      </c>
      <c r="I225" t="s">
        <v>26</v>
      </c>
      <c r="J225">
        <v>6</v>
      </c>
      <c r="K225" s="11">
        <v>11660.400000000001</v>
      </c>
    </row>
    <row r="226" spans="1:11" x14ac:dyDescent="0.3">
      <c r="A226" s="11">
        <v>15056.72</v>
      </c>
      <c r="B226">
        <v>2338</v>
      </c>
      <c r="C226" s="11">
        <v>3366.7199999999993</v>
      </c>
      <c r="D226" s="11">
        <v>7</v>
      </c>
      <c r="E226" s="11">
        <v>250</v>
      </c>
      <c r="F226" t="s">
        <v>26</v>
      </c>
      <c r="G226">
        <v>6</v>
      </c>
      <c r="I226" t="s">
        <v>26</v>
      </c>
      <c r="J226">
        <v>6</v>
      </c>
      <c r="K226" s="11">
        <v>2366.84</v>
      </c>
    </row>
    <row r="227" spans="1:11" x14ac:dyDescent="0.3">
      <c r="A227" s="11">
        <v>13027.2</v>
      </c>
      <c r="B227">
        <v>708</v>
      </c>
      <c r="C227" s="11">
        <v>5947.2000000000007</v>
      </c>
      <c r="D227" s="11">
        <v>20</v>
      </c>
      <c r="E227" s="11">
        <v>260</v>
      </c>
      <c r="F227" t="s">
        <v>26</v>
      </c>
      <c r="G227">
        <v>6</v>
      </c>
      <c r="I227" t="s">
        <v>26</v>
      </c>
      <c r="J227">
        <v>6</v>
      </c>
      <c r="K227" s="11">
        <v>1713.8500000000004</v>
      </c>
    </row>
    <row r="228" spans="1:11" x14ac:dyDescent="0.3">
      <c r="A228" s="11">
        <v>18721.080000000002</v>
      </c>
      <c r="B228">
        <v>2907</v>
      </c>
      <c r="C228" s="11">
        <v>4186.0800000000017</v>
      </c>
      <c r="D228" s="11">
        <v>7</v>
      </c>
      <c r="E228" s="11">
        <v>260</v>
      </c>
      <c r="F228" t="s">
        <v>26</v>
      </c>
      <c r="G228">
        <v>6</v>
      </c>
      <c r="I228" t="s">
        <v>26</v>
      </c>
      <c r="J228">
        <v>6</v>
      </c>
      <c r="K228" s="11">
        <v>1713.8500000000004</v>
      </c>
    </row>
    <row r="229" spans="1:11" x14ac:dyDescent="0.3">
      <c r="A229" s="11">
        <v>25134.400000000001</v>
      </c>
      <c r="B229">
        <v>1366</v>
      </c>
      <c r="C229" s="11">
        <v>11474.400000000001</v>
      </c>
      <c r="D229" s="11">
        <v>20</v>
      </c>
      <c r="E229" s="11">
        <v>260</v>
      </c>
      <c r="F229" t="s">
        <v>26</v>
      </c>
      <c r="G229">
        <v>6</v>
      </c>
      <c r="I229" t="s">
        <v>26</v>
      </c>
      <c r="J229">
        <v>6</v>
      </c>
      <c r="K229" s="11">
        <v>12992</v>
      </c>
    </row>
    <row r="230" spans="1:11" x14ac:dyDescent="0.3">
      <c r="A230" s="11">
        <v>678960</v>
      </c>
      <c r="B230">
        <v>2460</v>
      </c>
      <c r="C230" s="11">
        <v>63960</v>
      </c>
      <c r="D230" s="11">
        <v>300</v>
      </c>
      <c r="E230" s="11">
        <v>260</v>
      </c>
      <c r="F230" t="s">
        <v>26</v>
      </c>
      <c r="G230">
        <v>6</v>
      </c>
      <c r="I230" t="s">
        <v>26</v>
      </c>
      <c r="J230">
        <v>6</v>
      </c>
      <c r="K230" s="11">
        <v>12992</v>
      </c>
    </row>
    <row r="231" spans="1:11" x14ac:dyDescent="0.3">
      <c r="A231" s="11">
        <v>298662</v>
      </c>
      <c r="B231">
        <v>1094</v>
      </c>
      <c r="C231" s="11">
        <v>25162</v>
      </c>
      <c r="D231" s="11">
        <v>300</v>
      </c>
      <c r="E231" s="11">
        <v>3</v>
      </c>
      <c r="F231" t="s">
        <v>26</v>
      </c>
      <c r="G231">
        <v>6</v>
      </c>
      <c r="I231" t="s">
        <v>26</v>
      </c>
      <c r="J231">
        <v>6</v>
      </c>
      <c r="K231" s="11">
        <v>10768.8</v>
      </c>
    </row>
    <row r="232" spans="1:11" x14ac:dyDescent="0.3">
      <c r="A232" s="11">
        <v>298662</v>
      </c>
      <c r="B232">
        <v>1094</v>
      </c>
      <c r="C232" s="11">
        <v>25162</v>
      </c>
      <c r="D232" s="11">
        <v>300</v>
      </c>
      <c r="E232" s="11">
        <v>10</v>
      </c>
      <c r="F232" t="s">
        <v>26</v>
      </c>
      <c r="G232">
        <v>6</v>
      </c>
      <c r="I232" t="s">
        <v>26</v>
      </c>
      <c r="J232">
        <v>6</v>
      </c>
      <c r="K232" s="11">
        <v>10768.8</v>
      </c>
    </row>
    <row r="233" spans="1:11" x14ac:dyDescent="0.3">
      <c r="A233" s="11">
        <v>18891.599999999999</v>
      </c>
      <c r="B233">
        <v>1038</v>
      </c>
      <c r="C233" s="11">
        <v>8511.5999999999985</v>
      </c>
      <c r="D233" s="11">
        <v>20</v>
      </c>
      <c r="E233" s="11">
        <v>10</v>
      </c>
      <c r="F233" t="s">
        <v>26</v>
      </c>
      <c r="G233">
        <v>6</v>
      </c>
      <c r="I233" t="s">
        <v>26</v>
      </c>
      <c r="J233">
        <v>6</v>
      </c>
      <c r="K233" s="11">
        <v>5947.2000000000007</v>
      </c>
    </row>
    <row r="234" spans="1:11" x14ac:dyDescent="0.3">
      <c r="A234" s="11">
        <v>18891.599999999999</v>
      </c>
      <c r="B234">
        <v>1038</v>
      </c>
      <c r="C234" s="11">
        <v>8511.5999999999985</v>
      </c>
      <c r="D234" s="11">
        <v>20</v>
      </c>
      <c r="E234" s="11">
        <v>260</v>
      </c>
      <c r="F234" t="s">
        <v>26</v>
      </c>
      <c r="G234">
        <v>6</v>
      </c>
      <c r="I234" t="s">
        <v>26</v>
      </c>
      <c r="J234">
        <v>6</v>
      </c>
      <c r="K234" s="11">
        <v>11474.400000000001</v>
      </c>
    </row>
    <row r="235" spans="1:11" x14ac:dyDescent="0.3">
      <c r="A235" s="11">
        <v>272888</v>
      </c>
      <c r="B235">
        <v>886</v>
      </c>
      <c r="C235" s="11">
        <v>42528</v>
      </c>
      <c r="D235" s="11">
        <v>350</v>
      </c>
      <c r="E235" s="11">
        <v>3</v>
      </c>
      <c r="F235" t="s">
        <v>26</v>
      </c>
      <c r="G235">
        <v>6</v>
      </c>
      <c r="I235" t="s">
        <v>26</v>
      </c>
      <c r="J235">
        <v>6</v>
      </c>
      <c r="K235" s="11">
        <v>63960</v>
      </c>
    </row>
    <row r="236" spans="1:11" x14ac:dyDescent="0.3">
      <c r="A236" s="11">
        <v>272888</v>
      </c>
      <c r="B236">
        <v>886</v>
      </c>
      <c r="C236" s="11">
        <v>42528</v>
      </c>
      <c r="D236" s="11">
        <v>350</v>
      </c>
      <c r="E236" s="11">
        <v>10</v>
      </c>
      <c r="F236" t="s">
        <v>26</v>
      </c>
      <c r="G236">
        <v>6</v>
      </c>
      <c r="I236" t="s">
        <v>26</v>
      </c>
      <c r="J236">
        <v>6</v>
      </c>
      <c r="K236" s="11">
        <v>4186.0800000000017</v>
      </c>
    </row>
    <row r="237" spans="1:11" x14ac:dyDescent="0.3">
      <c r="A237" s="11">
        <v>33499.35</v>
      </c>
      <c r="B237">
        <v>2567</v>
      </c>
      <c r="C237" s="11">
        <v>7829.3499999999985</v>
      </c>
      <c r="D237" s="11">
        <v>15</v>
      </c>
      <c r="E237" s="11">
        <v>3</v>
      </c>
      <c r="F237" t="s">
        <v>26</v>
      </c>
      <c r="G237">
        <v>6</v>
      </c>
      <c r="I237" t="s">
        <v>26</v>
      </c>
      <c r="J237">
        <v>6</v>
      </c>
      <c r="K237" s="11">
        <v>3366.7199999999993</v>
      </c>
    </row>
    <row r="238" spans="1:11" x14ac:dyDescent="0.3">
      <c r="A238" s="11">
        <v>33499.35</v>
      </c>
      <c r="B238">
        <v>2567</v>
      </c>
      <c r="C238" s="11">
        <v>7829.3499999999985</v>
      </c>
      <c r="D238" s="11">
        <v>15</v>
      </c>
      <c r="E238" s="11">
        <v>250</v>
      </c>
      <c r="F238" t="s">
        <v>26</v>
      </c>
      <c r="G238">
        <v>6</v>
      </c>
      <c r="I238" t="s">
        <v>26</v>
      </c>
      <c r="J238">
        <v>6</v>
      </c>
      <c r="K238" s="11">
        <v>3366.7199999999993</v>
      </c>
    </row>
    <row r="239" spans="1:11" x14ac:dyDescent="0.3">
      <c r="A239" s="11">
        <v>6305.76</v>
      </c>
      <c r="B239">
        <v>604</v>
      </c>
      <c r="C239" s="11">
        <v>4493.76</v>
      </c>
      <c r="D239" s="11">
        <v>12</v>
      </c>
      <c r="E239" s="11">
        <v>5</v>
      </c>
      <c r="F239" t="s">
        <v>26</v>
      </c>
      <c r="G239">
        <v>6</v>
      </c>
      <c r="I239" t="s">
        <v>26</v>
      </c>
      <c r="J239">
        <v>6</v>
      </c>
      <c r="K239" s="11">
        <v>5947.2000000000007</v>
      </c>
    </row>
    <row r="240" spans="1:11" x14ac:dyDescent="0.3">
      <c r="A240" s="11">
        <v>801444</v>
      </c>
      <c r="B240">
        <v>2632</v>
      </c>
      <c r="C240" s="11">
        <v>117124</v>
      </c>
      <c r="D240" s="11">
        <v>350</v>
      </c>
      <c r="E240" s="11">
        <v>10</v>
      </c>
      <c r="F240" t="s">
        <v>26</v>
      </c>
      <c r="G240">
        <v>6</v>
      </c>
      <c r="I240" t="s">
        <v>26</v>
      </c>
      <c r="J240">
        <v>6</v>
      </c>
      <c r="K240" s="11">
        <v>4186.0800000000017</v>
      </c>
    </row>
    <row r="241" spans="1:11" x14ac:dyDescent="0.3">
      <c r="A241" s="11">
        <v>172151.25</v>
      </c>
      <c r="B241">
        <v>1583</v>
      </c>
      <c r="C241" s="11">
        <v>-17808.75</v>
      </c>
      <c r="D241" s="11">
        <v>125</v>
      </c>
      <c r="E241" s="11">
        <v>10</v>
      </c>
      <c r="F241" t="s">
        <v>26</v>
      </c>
      <c r="G241">
        <v>6</v>
      </c>
      <c r="I241" t="s">
        <v>26</v>
      </c>
      <c r="J241">
        <v>6</v>
      </c>
      <c r="K241" s="11">
        <v>11474.400000000001</v>
      </c>
    </row>
    <row r="242" spans="1:11" x14ac:dyDescent="0.3">
      <c r="A242" s="11">
        <v>801444</v>
      </c>
      <c r="B242">
        <v>2632</v>
      </c>
      <c r="C242" s="11">
        <v>117124</v>
      </c>
      <c r="D242" s="11">
        <v>350</v>
      </c>
      <c r="E242" s="11">
        <v>120</v>
      </c>
      <c r="F242" t="s">
        <v>26</v>
      </c>
      <c r="G242">
        <v>6</v>
      </c>
      <c r="I242" t="s">
        <v>26</v>
      </c>
      <c r="J242">
        <v>6</v>
      </c>
      <c r="K242" s="11">
        <v>63960</v>
      </c>
    </row>
    <row r="243" spans="1:11" x14ac:dyDescent="0.3">
      <c r="A243" s="11">
        <v>7247.1</v>
      </c>
      <c r="B243">
        <v>1190</v>
      </c>
      <c r="C243" s="11">
        <v>1297.1000000000004</v>
      </c>
      <c r="D243" s="11">
        <v>7</v>
      </c>
      <c r="E243" s="11">
        <v>120</v>
      </c>
      <c r="F243" t="s">
        <v>26</v>
      </c>
      <c r="G243">
        <v>6</v>
      </c>
      <c r="I243" t="s">
        <v>26</v>
      </c>
      <c r="J243">
        <v>6</v>
      </c>
      <c r="K243" s="11">
        <v>25162</v>
      </c>
    </row>
    <row r="244" spans="1:11" x14ac:dyDescent="0.3">
      <c r="A244" s="11">
        <v>6305.76</v>
      </c>
      <c r="B244">
        <v>604</v>
      </c>
      <c r="C244" s="11">
        <v>4493.76</v>
      </c>
      <c r="D244" s="11">
        <v>12</v>
      </c>
      <c r="E244" s="11">
        <v>120</v>
      </c>
      <c r="F244" t="s">
        <v>26</v>
      </c>
      <c r="G244">
        <v>6</v>
      </c>
      <c r="I244" t="s">
        <v>26</v>
      </c>
      <c r="J244">
        <v>6</v>
      </c>
      <c r="K244" s="11">
        <v>25162</v>
      </c>
    </row>
    <row r="245" spans="1:11" x14ac:dyDescent="0.3">
      <c r="A245" s="11">
        <v>172151.25</v>
      </c>
      <c r="B245">
        <v>1583</v>
      </c>
      <c r="C245" s="11">
        <v>-17808.75</v>
      </c>
      <c r="D245" s="11">
        <v>125</v>
      </c>
      <c r="E245" s="11">
        <v>250</v>
      </c>
      <c r="F245" t="s">
        <v>26</v>
      </c>
      <c r="G245">
        <v>6</v>
      </c>
      <c r="I245" t="s">
        <v>26</v>
      </c>
      <c r="J245">
        <v>6</v>
      </c>
      <c r="K245" s="11">
        <v>8511.5999999999985</v>
      </c>
    </row>
    <row r="246" spans="1:11" x14ac:dyDescent="0.3">
      <c r="A246" s="11">
        <v>7247.1</v>
      </c>
      <c r="B246">
        <v>1190</v>
      </c>
      <c r="C246" s="11">
        <v>1297.1000000000004</v>
      </c>
      <c r="D246" s="11">
        <v>7</v>
      </c>
      <c r="E246" s="11">
        <v>260</v>
      </c>
      <c r="F246" t="s">
        <v>26</v>
      </c>
      <c r="G246">
        <v>6</v>
      </c>
      <c r="I246" t="s">
        <v>26</v>
      </c>
      <c r="J246">
        <v>6</v>
      </c>
      <c r="K246" s="11">
        <v>8511.5999999999985</v>
      </c>
    </row>
    <row r="247" spans="1:11" x14ac:dyDescent="0.3">
      <c r="A247" s="11">
        <v>333187.5</v>
      </c>
      <c r="B247">
        <v>2665.5</v>
      </c>
      <c r="C247" s="11">
        <v>13327.5</v>
      </c>
      <c r="D247" s="11">
        <v>125</v>
      </c>
      <c r="E247" s="11">
        <v>5</v>
      </c>
      <c r="F247" t="s">
        <v>27</v>
      </c>
      <c r="G247">
        <v>7</v>
      </c>
      <c r="I247" t="s">
        <v>26</v>
      </c>
      <c r="J247">
        <v>6</v>
      </c>
      <c r="K247" s="11">
        <v>42528</v>
      </c>
    </row>
    <row r="248" spans="1:11" x14ac:dyDescent="0.3">
      <c r="A248" s="11">
        <v>4404</v>
      </c>
      <c r="B248">
        <v>367</v>
      </c>
      <c r="C248" s="11">
        <v>3303</v>
      </c>
      <c r="D248" s="11">
        <v>12</v>
      </c>
      <c r="E248" s="11">
        <v>10</v>
      </c>
      <c r="F248" t="s">
        <v>27</v>
      </c>
      <c r="G248">
        <v>7</v>
      </c>
      <c r="I248" t="s">
        <v>26</v>
      </c>
      <c r="J248">
        <v>6</v>
      </c>
      <c r="K248" s="11">
        <v>42528</v>
      </c>
    </row>
    <row r="249" spans="1:11" x14ac:dyDescent="0.3">
      <c r="A249" s="11">
        <v>11802</v>
      </c>
      <c r="B249">
        <v>1686</v>
      </c>
      <c r="C249" s="11">
        <v>3372</v>
      </c>
      <c r="D249" s="11">
        <v>7</v>
      </c>
      <c r="E249" s="11">
        <v>260</v>
      </c>
      <c r="F249" t="s">
        <v>27</v>
      </c>
      <c r="G249">
        <v>7</v>
      </c>
      <c r="I249" t="s">
        <v>26</v>
      </c>
      <c r="J249">
        <v>6</v>
      </c>
      <c r="K249" s="11">
        <v>7829.3499999999985</v>
      </c>
    </row>
    <row r="250" spans="1:11" x14ac:dyDescent="0.3">
      <c r="A250" s="11">
        <v>17525.97</v>
      </c>
      <c r="B250">
        <v>2529</v>
      </c>
      <c r="C250" s="11">
        <v>4880.9699999999993</v>
      </c>
      <c r="D250" s="11">
        <v>7</v>
      </c>
      <c r="E250" s="11">
        <v>3</v>
      </c>
      <c r="F250" t="s">
        <v>27</v>
      </c>
      <c r="G250">
        <v>7</v>
      </c>
      <c r="I250" t="s">
        <v>26</v>
      </c>
      <c r="J250">
        <v>6</v>
      </c>
      <c r="K250" s="11">
        <v>7829.3499999999985</v>
      </c>
    </row>
    <row r="251" spans="1:11" x14ac:dyDescent="0.3">
      <c r="A251" s="11">
        <v>27234.899999999998</v>
      </c>
      <c r="B251">
        <v>1375.5</v>
      </c>
      <c r="C251" s="11">
        <v>13479.899999999998</v>
      </c>
      <c r="D251" s="11">
        <v>20</v>
      </c>
      <c r="E251" s="11">
        <v>5</v>
      </c>
      <c r="F251" t="s">
        <v>27</v>
      </c>
      <c r="G251">
        <v>7</v>
      </c>
      <c r="I251" t="s">
        <v>26</v>
      </c>
      <c r="J251">
        <v>6</v>
      </c>
      <c r="K251" s="11">
        <v>4493.76</v>
      </c>
    </row>
    <row r="252" spans="1:11" x14ac:dyDescent="0.3">
      <c r="A252" s="11">
        <v>225596.25</v>
      </c>
      <c r="B252">
        <v>1823</v>
      </c>
      <c r="C252" s="11">
        <v>6836.25</v>
      </c>
      <c r="D252" s="11">
        <v>125</v>
      </c>
      <c r="E252" s="11">
        <v>10</v>
      </c>
      <c r="F252" t="s">
        <v>27</v>
      </c>
      <c r="G252">
        <v>7</v>
      </c>
      <c r="I252" t="s">
        <v>26</v>
      </c>
      <c r="J252">
        <v>6</v>
      </c>
      <c r="K252" s="11">
        <v>117124</v>
      </c>
    </row>
    <row r="253" spans="1:11" x14ac:dyDescent="0.3">
      <c r="A253" s="11">
        <v>15940.98</v>
      </c>
      <c r="B253">
        <v>1369.5</v>
      </c>
      <c r="C253" s="11">
        <v>11832.48</v>
      </c>
      <c r="D253" s="11">
        <v>12</v>
      </c>
      <c r="E253" s="11">
        <v>10</v>
      </c>
      <c r="F253" t="s">
        <v>27</v>
      </c>
      <c r="G253">
        <v>7</v>
      </c>
      <c r="I253" t="s">
        <v>26</v>
      </c>
      <c r="J253">
        <v>6</v>
      </c>
      <c r="K253" s="11">
        <v>-17808.75</v>
      </c>
    </row>
    <row r="254" spans="1:11" x14ac:dyDescent="0.3">
      <c r="A254" s="11">
        <v>1159200</v>
      </c>
      <c r="B254">
        <v>3450</v>
      </c>
      <c r="C254" s="11">
        <v>262200</v>
      </c>
      <c r="D254" s="11">
        <v>350</v>
      </c>
      <c r="E254" s="11">
        <v>10</v>
      </c>
      <c r="F254" t="s">
        <v>27</v>
      </c>
      <c r="G254">
        <v>7</v>
      </c>
      <c r="I254" t="s">
        <v>26</v>
      </c>
      <c r="J254">
        <v>6</v>
      </c>
      <c r="K254" s="11">
        <v>117124</v>
      </c>
    </row>
    <row r="255" spans="1:11" x14ac:dyDescent="0.3">
      <c r="A255" s="11">
        <v>358560</v>
      </c>
      <c r="B255">
        <v>2988</v>
      </c>
      <c r="C255" s="11">
        <v>0</v>
      </c>
      <c r="D255" s="11">
        <v>125</v>
      </c>
      <c r="E255" s="11">
        <v>10</v>
      </c>
      <c r="F255" t="s">
        <v>27</v>
      </c>
      <c r="G255">
        <v>7</v>
      </c>
      <c r="I255" t="s">
        <v>26</v>
      </c>
      <c r="J255">
        <v>6</v>
      </c>
      <c r="K255" s="11">
        <v>1297.1000000000004</v>
      </c>
    </row>
    <row r="256" spans="1:11" x14ac:dyDescent="0.3">
      <c r="A256" s="11">
        <v>11191.95</v>
      </c>
      <c r="B256">
        <v>1683</v>
      </c>
      <c r="C256" s="11">
        <v>2776.9500000000007</v>
      </c>
      <c r="D256" s="11">
        <v>7</v>
      </c>
      <c r="E256" s="11">
        <v>260</v>
      </c>
      <c r="F256" t="s">
        <v>27</v>
      </c>
      <c r="G256">
        <v>7</v>
      </c>
      <c r="I256" t="s">
        <v>26</v>
      </c>
      <c r="J256">
        <v>6</v>
      </c>
      <c r="K256" s="11">
        <v>4493.76</v>
      </c>
    </row>
    <row r="257" spans="1:11" x14ac:dyDescent="0.3">
      <c r="A257" s="11">
        <v>430706.25</v>
      </c>
      <c r="B257">
        <v>3627</v>
      </c>
      <c r="C257" s="11">
        <v>-4533.75</v>
      </c>
      <c r="D257" s="11">
        <v>125</v>
      </c>
      <c r="E257" s="11">
        <v>5</v>
      </c>
      <c r="F257" t="s">
        <v>27</v>
      </c>
      <c r="G257">
        <v>7</v>
      </c>
      <c r="I257" t="s">
        <v>26</v>
      </c>
      <c r="J257">
        <v>6</v>
      </c>
      <c r="K257" s="11">
        <v>-17808.75</v>
      </c>
    </row>
    <row r="258" spans="1:11" x14ac:dyDescent="0.3">
      <c r="A258" s="11">
        <v>408386.25</v>
      </c>
      <c r="B258">
        <v>3513</v>
      </c>
      <c r="C258" s="11">
        <v>-13173.75</v>
      </c>
      <c r="D258" s="11">
        <v>125</v>
      </c>
      <c r="E258" s="11">
        <v>10</v>
      </c>
      <c r="F258" t="s">
        <v>27</v>
      </c>
      <c r="G258">
        <v>7</v>
      </c>
      <c r="I258" t="s">
        <v>26</v>
      </c>
      <c r="J258">
        <v>6</v>
      </c>
      <c r="K258" s="11">
        <v>1297.1000000000004</v>
      </c>
    </row>
    <row r="259" spans="1:11" x14ac:dyDescent="0.3">
      <c r="A259" s="11">
        <v>462861</v>
      </c>
      <c r="B259">
        <v>1659</v>
      </c>
      <c r="C259" s="11">
        <v>48111</v>
      </c>
      <c r="D259" s="11">
        <v>300</v>
      </c>
      <c r="E259" s="11">
        <v>120</v>
      </c>
      <c r="F259" t="s">
        <v>27</v>
      </c>
      <c r="G259">
        <v>7</v>
      </c>
      <c r="I259" t="s">
        <v>27</v>
      </c>
      <c r="J259">
        <v>7</v>
      </c>
      <c r="K259" s="11">
        <v>13327.5</v>
      </c>
    </row>
    <row r="260" spans="1:11" x14ac:dyDescent="0.3">
      <c r="A260" s="11">
        <v>11868</v>
      </c>
      <c r="B260">
        <v>645</v>
      </c>
      <c r="C260" s="11">
        <v>5418</v>
      </c>
      <c r="D260" s="11">
        <v>20</v>
      </c>
      <c r="E260" s="11">
        <v>5</v>
      </c>
      <c r="F260" t="s">
        <v>27</v>
      </c>
      <c r="G260">
        <v>7</v>
      </c>
      <c r="I260" t="s">
        <v>27</v>
      </c>
      <c r="J260">
        <v>7</v>
      </c>
      <c r="K260" s="11">
        <v>3303</v>
      </c>
    </row>
    <row r="261" spans="1:11" x14ac:dyDescent="0.3">
      <c r="A261" s="11">
        <v>8031.5999999999995</v>
      </c>
      <c r="B261">
        <v>436.5</v>
      </c>
      <c r="C261" s="11">
        <v>3666.5999999999995</v>
      </c>
      <c r="D261" s="11">
        <v>20</v>
      </c>
      <c r="E261" s="11">
        <v>250</v>
      </c>
      <c r="F261" t="s">
        <v>27</v>
      </c>
      <c r="G261">
        <v>7</v>
      </c>
      <c r="I261" t="s">
        <v>27</v>
      </c>
      <c r="J261">
        <v>7</v>
      </c>
      <c r="K261" s="11">
        <v>3372</v>
      </c>
    </row>
    <row r="262" spans="1:11" x14ac:dyDescent="0.3">
      <c r="A262" s="11">
        <v>1035625.5</v>
      </c>
      <c r="B262">
        <v>3793.5</v>
      </c>
      <c r="C262" s="11">
        <v>87250.5</v>
      </c>
      <c r="D262" s="11">
        <v>300</v>
      </c>
      <c r="E262" s="11">
        <v>120</v>
      </c>
      <c r="F262" t="s">
        <v>27</v>
      </c>
      <c r="G262">
        <v>7</v>
      </c>
      <c r="I262" t="s">
        <v>27</v>
      </c>
      <c r="J262">
        <v>7</v>
      </c>
      <c r="K262" s="11">
        <v>4880.9699999999993</v>
      </c>
    </row>
    <row r="263" spans="1:11" x14ac:dyDescent="0.3">
      <c r="A263" s="11">
        <v>416279.5</v>
      </c>
      <c r="B263">
        <v>1307</v>
      </c>
      <c r="C263" s="11">
        <v>76459.5</v>
      </c>
      <c r="D263" s="11">
        <v>350</v>
      </c>
      <c r="E263" s="11">
        <v>120</v>
      </c>
      <c r="F263" t="s">
        <v>27</v>
      </c>
      <c r="G263">
        <v>7</v>
      </c>
      <c r="I263" t="s">
        <v>27</v>
      </c>
      <c r="J263">
        <v>7</v>
      </c>
      <c r="K263" s="11">
        <v>13479.899999999998</v>
      </c>
    </row>
    <row r="264" spans="1:11" x14ac:dyDescent="0.3">
      <c r="A264" s="11">
        <v>5217.03</v>
      </c>
      <c r="B264">
        <v>819</v>
      </c>
      <c r="C264" s="11">
        <v>1122.03</v>
      </c>
      <c r="D264" s="11">
        <v>7</v>
      </c>
      <c r="E264" s="11">
        <v>3</v>
      </c>
      <c r="F264" t="s">
        <v>27</v>
      </c>
      <c r="G264">
        <v>7</v>
      </c>
      <c r="I264" t="s">
        <v>27</v>
      </c>
      <c r="J264">
        <v>7</v>
      </c>
      <c r="K264" s="11">
        <v>6836.25</v>
      </c>
    </row>
    <row r="265" spans="1:11" x14ac:dyDescent="0.3">
      <c r="A265" s="11">
        <v>22256.324999999997</v>
      </c>
      <c r="B265">
        <v>1630.5</v>
      </c>
      <c r="C265" s="11">
        <v>5951.3249999999989</v>
      </c>
      <c r="D265" s="11">
        <v>15</v>
      </c>
      <c r="E265" s="11">
        <v>260</v>
      </c>
      <c r="F265" t="s">
        <v>27</v>
      </c>
      <c r="G265">
        <v>7</v>
      </c>
      <c r="I265" t="s">
        <v>27</v>
      </c>
      <c r="J265">
        <v>7</v>
      </c>
      <c r="K265" s="11">
        <v>11832.48</v>
      </c>
    </row>
    <row r="266" spans="1:11" x14ac:dyDescent="0.3">
      <c r="A266" s="11">
        <v>201285</v>
      </c>
      <c r="B266">
        <v>639</v>
      </c>
      <c r="C266" s="11">
        <v>35145</v>
      </c>
      <c r="D266" s="11">
        <v>350</v>
      </c>
      <c r="E266" s="11">
        <v>120</v>
      </c>
      <c r="F266" t="s">
        <v>27</v>
      </c>
      <c r="G266">
        <v>7</v>
      </c>
      <c r="I266" t="s">
        <v>27</v>
      </c>
      <c r="J266">
        <v>7</v>
      </c>
      <c r="K266" s="11">
        <v>262200</v>
      </c>
    </row>
    <row r="267" spans="1:11" x14ac:dyDescent="0.3">
      <c r="A267" s="11">
        <v>8653.5</v>
      </c>
      <c r="B267">
        <v>641</v>
      </c>
      <c r="C267" s="11">
        <v>2243.5</v>
      </c>
      <c r="D267" s="11">
        <v>15</v>
      </c>
      <c r="E267" s="11">
        <v>250</v>
      </c>
      <c r="F267" t="s">
        <v>27</v>
      </c>
      <c r="G267">
        <v>7</v>
      </c>
      <c r="I267" t="s">
        <v>27</v>
      </c>
      <c r="J267">
        <v>7</v>
      </c>
      <c r="K267" s="11">
        <v>0</v>
      </c>
    </row>
    <row r="268" spans="1:11" x14ac:dyDescent="0.3">
      <c r="A268" s="11">
        <v>42713.324999999997</v>
      </c>
      <c r="B268">
        <v>3199.5</v>
      </c>
      <c r="C268" s="11">
        <v>10718.324999999999</v>
      </c>
      <c r="D268" s="11">
        <v>15</v>
      </c>
      <c r="E268" s="11">
        <v>260</v>
      </c>
      <c r="F268" t="s">
        <v>27</v>
      </c>
      <c r="G268">
        <v>7</v>
      </c>
      <c r="I268" t="s">
        <v>27</v>
      </c>
      <c r="J268">
        <v>7</v>
      </c>
      <c r="K268" s="11">
        <v>2776.9500000000007</v>
      </c>
    </row>
    <row r="269" spans="1:11" x14ac:dyDescent="0.3">
      <c r="A269" s="11">
        <v>750537</v>
      </c>
      <c r="B269">
        <v>2811</v>
      </c>
      <c r="C269" s="11">
        <v>47787</v>
      </c>
      <c r="D269" s="11">
        <v>300</v>
      </c>
      <c r="E269" s="11">
        <v>3</v>
      </c>
      <c r="F269" t="s">
        <v>27</v>
      </c>
      <c r="G269">
        <v>7</v>
      </c>
      <c r="I269" t="s">
        <v>27</v>
      </c>
      <c r="J269">
        <v>7</v>
      </c>
      <c r="K269" s="11">
        <v>-4533.75</v>
      </c>
    </row>
    <row r="270" spans="1:11" x14ac:dyDescent="0.3">
      <c r="A270" s="11">
        <v>655551.75</v>
      </c>
      <c r="B270">
        <v>2104.5</v>
      </c>
      <c r="C270" s="11">
        <v>108381.75</v>
      </c>
      <c r="D270" s="11">
        <v>350</v>
      </c>
      <c r="E270" s="11">
        <v>10</v>
      </c>
      <c r="F270" t="s">
        <v>27</v>
      </c>
      <c r="G270">
        <v>7</v>
      </c>
      <c r="I270" t="s">
        <v>27</v>
      </c>
      <c r="J270">
        <v>7</v>
      </c>
      <c r="K270" s="11">
        <v>-13173.75</v>
      </c>
    </row>
    <row r="271" spans="1:11" x14ac:dyDescent="0.3">
      <c r="A271" s="11">
        <v>42997.68</v>
      </c>
      <c r="B271">
        <v>4026</v>
      </c>
      <c r="C271" s="11">
        <v>30919.68</v>
      </c>
      <c r="D271" s="11">
        <v>12</v>
      </c>
      <c r="E271" s="11">
        <v>10</v>
      </c>
      <c r="F271" t="s">
        <v>27</v>
      </c>
      <c r="G271">
        <v>7</v>
      </c>
      <c r="I271" t="s">
        <v>27</v>
      </c>
      <c r="J271">
        <v>7</v>
      </c>
      <c r="K271" s="11">
        <v>48111</v>
      </c>
    </row>
    <row r="272" spans="1:11" x14ac:dyDescent="0.3">
      <c r="A272" s="11">
        <v>25904.340000000004</v>
      </c>
      <c r="B272">
        <v>2425.5</v>
      </c>
      <c r="C272" s="11">
        <v>18627.840000000004</v>
      </c>
      <c r="D272" s="11">
        <v>12</v>
      </c>
      <c r="E272" s="11">
        <v>10</v>
      </c>
      <c r="F272" t="s">
        <v>27</v>
      </c>
      <c r="G272">
        <v>7</v>
      </c>
      <c r="I272" t="s">
        <v>27</v>
      </c>
      <c r="J272">
        <v>7</v>
      </c>
      <c r="K272" s="11">
        <v>5418</v>
      </c>
    </row>
    <row r="273" spans="1:11" x14ac:dyDescent="0.3">
      <c r="A273" s="11">
        <v>429660</v>
      </c>
      <c r="B273">
        <v>1395</v>
      </c>
      <c r="C273" s="11">
        <v>66960</v>
      </c>
      <c r="D273" s="11">
        <v>350</v>
      </c>
      <c r="E273" s="11">
        <v>120</v>
      </c>
      <c r="F273" t="s">
        <v>27</v>
      </c>
      <c r="G273">
        <v>7</v>
      </c>
      <c r="I273" t="s">
        <v>27</v>
      </c>
      <c r="J273">
        <v>7</v>
      </c>
      <c r="K273" s="11">
        <v>3666.5999999999995</v>
      </c>
    </row>
    <row r="274" spans="1:11" x14ac:dyDescent="0.3">
      <c r="A274" s="11">
        <v>51143.399999999994</v>
      </c>
      <c r="B274">
        <v>3874.5</v>
      </c>
      <c r="C274" s="11">
        <v>12398.399999999998</v>
      </c>
      <c r="D274" s="11">
        <v>15</v>
      </c>
      <c r="E274" s="11">
        <v>250</v>
      </c>
      <c r="F274" t="s">
        <v>27</v>
      </c>
      <c r="G274">
        <v>7</v>
      </c>
      <c r="I274" t="s">
        <v>27</v>
      </c>
      <c r="J274">
        <v>7</v>
      </c>
      <c r="K274" s="11">
        <v>87250.5</v>
      </c>
    </row>
    <row r="275" spans="1:11" x14ac:dyDescent="0.3">
      <c r="A275" s="11">
        <v>21076.44</v>
      </c>
      <c r="B275">
        <v>3421.5</v>
      </c>
      <c r="C275" s="11">
        <v>3968.9399999999987</v>
      </c>
      <c r="D275" s="11">
        <v>7</v>
      </c>
      <c r="E275" s="11">
        <v>260</v>
      </c>
      <c r="F275" t="s">
        <v>27</v>
      </c>
      <c r="G275">
        <v>7</v>
      </c>
      <c r="I275" t="s">
        <v>27</v>
      </c>
      <c r="J275">
        <v>7</v>
      </c>
      <c r="K275" s="11">
        <v>76459.5</v>
      </c>
    </row>
    <row r="276" spans="1:11" x14ac:dyDescent="0.3">
      <c r="A276" s="11">
        <v>39237</v>
      </c>
      <c r="B276">
        <v>2255</v>
      </c>
      <c r="C276" s="11">
        <v>16687</v>
      </c>
      <c r="D276" s="11">
        <v>20</v>
      </c>
      <c r="E276" s="11">
        <v>5</v>
      </c>
      <c r="F276" t="s">
        <v>27</v>
      </c>
      <c r="G276">
        <v>7</v>
      </c>
      <c r="I276" t="s">
        <v>27</v>
      </c>
      <c r="J276">
        <v>7</v>
      </c>
      <c r="K276" s="11">
        <v>1122.03</v>
      </c>
    </row>
    <row r="277" spans="1:11" x14ac:dyDescent="0.3">
      <c r="A277" s="11">
        <v>5961.24</v>
      </c>
      <c r="B277">
        <v>571</v>
      </c>
      <c r="C277" s="11">
        <v>4248.24</v>
      </c>
      <c r="D277" s="11">
        <v>12</v>
      </c>
      <c r="E277" s="11">
        <v>10</v>
      </c>
      <c r="F277" t="s">
        <v>27</v>
      </c>
      <c r="G277">
        <v>7</v>
      </c>
      <c r="I277" t="s">
        <v>27</v>
      </c>
      <c r="J277">
        <v>7</v>
      </c>
      <c r="K277" s="11">
        <v>5951.3249999999989</v>
      </c>
    </row>
    <row r="278" spans="1:11" x14ac:dyDescent="0.3">
      <c r="A278" s="11">
        <v>206658</v>
      </c>
      <c r="B278">
        <v>801</v>
      </c>
      <c r="C278" s="11">
        <v>6408</v>
      </c>
      <c r="D278" s="11">
        <v>300</v>
      </c>
      <c r="E278" s="11">
        <v>3</v>
      </c>
      <c r="F278" t="s">
        <v>27</v>
      </c>
      <c r="G278">
        <v>7</v>
      </c>
      <c r="I278" t="s">
        <v>27</v>
      </c>
      <c r="J278">
        <v>7</v>
      </c>
      <c r="K278" s="11">
        <v>35145</v>
      </c>
    </row>
    <row r="279" spans="1:11" x14ac:dyDescent="0.3">
      <c r="A279" s="11">
        <v>634680</v>
      </c>
      <c r="B279">
        <v>2460</v>
      </c>
      <c r="C279" s="11">
        <v>19680</v>
      </c>
      <c r="D279" s="11">
        <v>300</v>
      </c>
      <c r="E279" s="11">
        <v>120</v>
      </c>
      <c r="F279" t="s">
        <v>27</v>
      </c>
      <c r="G279">
        <v>7</v>
      </c>
      <c r="I279" t="s">
        <v>27</v>
      </c>
      <c r="J279">
        <v>7</v>
      </c>
      <c r="K279" s="11">
        <v>2243.5</v>
      </c>
    </row>
    <row r="280" spans="1:11" x14ac:dyDescent="0.3">
      <c r="A280" s="11">
        <v>14713.5</v>
      </c>
      <c r="B280">
        <v>865.5</v>
      </c>
      <c r="C280" s="11">
        <v>6058.5</v>
      </c>
      <c r="D280" s="11">
        <v>20</v>
      </c>
      <c r="E280" s="11">
        <v>250</v>
      </c>
      <c r="F280" t="s">
        <v>27</v>
      </c>
      <c r="G280">
        <v>7</v>
      </c>
      <c r="I280" t="s">
        <v>27</v>
      </c>
      <c r="J280">
        <v>7</v>
      </c>
      <c r="K280" s="11">
        <v>10718.324999999999</v>
      </c>
    </row>
    <row r="281" spans="1:11" x14ac:dyDescent="0.3">
      <c r="A281" s="11">
        <v>6273</v>
      </c>
      <c r="B281">
        <v>492</v>
      </c>
      <c r="C281" s="11">
        <v>1353</v>
      </c>
      <c r="D281" s="11">
        <v>15</v>
      </c>
      <c r="E281" s="11">
        <v>250</v>
      </c>
      <c r="F281" t="s">
        <v>27</v>
      </c>
      <c r="G281">
        <v>7</v>
      </c>
      <c r="I281" t="s">
        <v>27</v>
      </c>
      <c r="J281">
        <v>7</v>
      </c>
      <c r="K281" s="11">
        <v>47787</v>
      </c>
    </row>
    <row r="282" spans="1:11" x14ac:dyDescent="0.3">
      <c r="A282" s="11">
        <v>287400</v>
      </c>
      <c r="B282">
        <v>958</v>
      </c>
      <c r="C282" s="11">
        <v>47900</v>
      </c>
      <c r="D282" s="11">
        <v>300</v>
      </c>
      <c r="E282" s="11">
        <v>5</v>
      </c>
      <c r="F282" t="s">
        <v>28</v>
      </c>
      <c r="G282">
        <v>8</v>
      </c>
      <c r="I282" t="s">
        <v>27</v>
      </c>
      <c r="J282">
        <v>7</v>
      </c>
      <c r="K282" s="11">
        <v>108381.75</v>
      </c>
    </row>
    <row r="283" spans="1:11" x14ac:dyDescent="0.3">
      <c r="A283" s="11">
        <v>6181</v>
      </c>
      <c r="B283">
        <v>883</v>
      </c>
      <c r="C283" s="11">
        <v>1766</v>
      </c>
      <c r="D283" s="11">
        <v>7</v>
      </c>
      <c r="E283" s="11">
        <v>10</v>
      </c>
      <c r="F283" t="s">
        <v>28</v>
      </c>
      <c r="G283">
        <v>8</v>
      </c>
      <c r="I283" t="s">
        <v>27</v>
      </c>
      <c r="J283">
        <v>7</v>
      </c>
      <c r="K283" s="11">
        <v>30919.68</v>
      </c>
    </row>
    <row r="284" spans="1:11" x14ac:dyDescent="0.3">
      <c r="A284" s="11">
        <v>352625</v>
      </c>
      <c r="B284">
        <v>2821</v>
      </c>
      <c r="C284" s="11">
        <v>14105</v>
      </c>
      <c r="D284" s="11">
        <v>125</v>
      </c>
      <c r="E284" s="11">
        <v>120</v>
      </c>
      <c r="F284" t="s">
        <v>28</v>
      </c>
      <c r="G284">
        <v>8</v>
      </c>
      <c r="I284" t="s">
        <v>27</v>
      </c>
      <c r="J284">
        <v>7</v>
      </c>
      <c r="K284" s="11">
        <v>18627.840000000004</v>
      </c>
    </row>
    <row r="285" spans="1:11" x14ac:dyDescent="0.3">
      <c r="A285" s="11">
        <v>25692</v>
      </c>
      <c r="B285">
        <v>2141</v>
      </c>
      <c r="C285" s="11">
        <v>19269</v>
      </c>
      <c r="D285" s="11">
        <v>12</v>
      </c>
      <c r="E285" s="11">
        <v>260</v>
      </c>
      <c r="F285" t="s">
        <v>28</v>
      </c>
      <c r="G285">
        <v>8</v>
      </c>
      <c r="I285" t="s">
        <v>27</v>
      </c>
      <c r="J285">
        <v>7</v>
      </c>
      <c r="K285" s="11">
        <v>66960</v>
      </c>
    </row>
    <row r="286" spans="1:11" x14ac:dyDescent="0.3">
      <c r="A286" s="11">
        <v>12681.9</v>
      </c>
      <c r="B286">
        <v>1830</v>
      </c>
      <c r="C286" s="11">
        <v>3531.8999999999996</v>
      </c>
      <c r="D286" s="11">
        <v>7</v>
      </c>
      <c r="E286" s="11">
        <v>5</v>
      </c>
      <c r="F286" t="s">
        <v>28</v>
      </c>
      <c r="G286">
        <v>8</v>
      </c>
      <c r="I286" t="s">
        <v>27</v>
      </c>
      <c r="J286">
        <v>7</v>
      </c>
      <c r="K286" s="11">
        <v>12398.399999999998</v>
      </c>
    </row>
    <row r="287" spans="1:11" x14ac:dyDescent="0.3">
      <c r="A287" s="11">
        <v>114221.25</v>
      </c>
      <c r="B287">
        <v>923</v>
      </c>
      <c r="C287" s="11">
        <v>3461.25</v>
      </c>
      <c r="D287" s="11">
        <v>125</v>
      </c>
      <c r="E287" s="11">
        <v>120</v>
      </c>
      <c r="F287" t="s">
        <v>28</v>
      </c>
      <c r="G287">
        <v>8</v>
      </c>
      <c r="I287" t="s">
        <v>27</v>
      </c>
      <c r="J287">
        <v>7</v>
      </c>
      <c r="K287" s="11">
        <v>3968.9399999999987</v>
      </c>
    </row>
    <row r="288" spans="1:11" x14ac:dyDescent="0.3">
      <c r="A288" s="11">
        <v>545334</v>
      </c>
      <c r="B288">
        <v>1874</v>
      </c>
      <c r="C288" s="11">
        <v>76834</v>
      </c>
      <c r="D288" s="11">
        <v>300</v>
      </c>
      <c r="E288" s="11">
        <v>250</v>
      </c>
      <c r="F288" t="s">
        <v>28</v>
      </c>
      <c r="G288">
        <v>8</v>
      </c>
      <c r="I288" t="s">
        <v>27</v>
      </c>
      <c r="J288">
        <v>7</v>
      </c>
      <c r="K288" s="11">
        <v>16687</v>
      </c>
    </row>
    <row r="289" spans="1:11" x14ac:dyDescent="0.3">
      <c r="A289" s="11">
        <v>557459</v>
      </c>
      <c r="B289">
        <v>1642</v>
      </c>
      <c r="C289" s="11">
        <v>130539</v>
      </c>
      <c r="D289" s="11">
        <v>350</v>
      </c>
      <c r="E289" s="11">
        <v>250</v>
      </c>
      <c r="F289" t="s">
        <v>28</v>
      </c>
      <c r="G289">
        <v>8</v>
      </c>
      <c r="I289" t="s">
        <v>27</v>
      </c>
      <c r="J289">
        <v>7</v>
      </c>
      <c r="K289" s="11">
        <v>4248.24</v>
      </c>
    </row>
    <row r="290" spans="1:11" x14ac:dyDescent="0.3">
      <c r="A290" s="11">
        <v>535392</v>
      </c>
      <c r="B290">
        <v>1859</v>
      </c>
      <c r="C290" s="11">
        <v>70642</v>
      </c>
      <c r="D290" s="11">
        <v>300</v>
      </c>
      <c r="E290" s="11">
        <v>5</v>
      </c>
      <c r="F290" t="s">
        <v>28</v>
      </c>
      <c r="G290">
        <v>8</v>
      </c>
      <c r="I290" t="s">
        <v>27</v>
      </c>
      <c r="J290">
        <v>7</v>
      </c>
      <c r="K290" s="11">
        <v>6408</v>
      </c>
    </row>
    <row r="291" spans="1:11" x14ac:dyDescent="0.3">
      <c r="A291" s="11">
        <v>12802.2</v>
      </c>
      <c r="B291">
        <v>1123</v>
      </c>
      <c r="C291" s="11">
        <v>9433.2000000000007</v>
      </c>
      <c r="D291" s="11">
        <v>12</v>
      </c>
      <c r="E291" s="11">
        <v>260</v>
      </c>
      <c r="F291" t="s">
        <v>28</v>
      </c>
      <c r="G291">
        <v>8</v>
      </c>
      <c r="I291" t="s">
        <v>27</v>
      </c>
      <c r="J291">
        <v>7</v>
      </c>
      <c r="K291" s="11">
        <v>19680</v>
      </c>
    </row>
    <row r="292" spans="1:11" x14ac:dyDescent="0.3">
      <c r="A292" s="11">
        <v>53808</v>
      </c>
      <c r="B292">
        <v>2832</v>
      </c>
      <c r="C292" s="11">
        <v>25488</v>
      </c>
      <c r="D292" s="11">
        <v>20</v>
      </c>
      <c r="E292" s="11">
        <v>120</v>
      </c>
      <c r="F292" t="s">
        <v>28</v>
      </c>
      <c r="G292">
        <v>8</v>
      </c>
      <c r="I292" t="s">
        <v>27</v>
      </c>
      <c r="J292">
        <v>7</v>
      </c>
      <c r="K292" s="11">
        <v>6058.5</v>
      </c>
    </row>
    <row r="293" spans="1:11" x14ac:dyDescent="0.3">
      <c r="A293" s="11">
        <v>30001</v>
      </c>
      <c r="B293">
        <v>1579</v>
      </c>
      <c r="C293" s="11">
        <v>14211</v>
      </c>
      <c r="D293" s="11">
        <v>20</v>
      </c>
      <c r="E293" s="11">
        <v>120</v>
      </c>
      <c r="F293" t="s">
        <v>28</v>
      </c>
      <c r="G293">
        <v>8</v>
      </c>
      <c r="I293" t="s">
        <v>27</v>
      </c>
      <c r="J293">
        <v>7</v>
      </c>
      <c r="K293" s="11">
        <v>1353</v>
      </c>
    </row>
    <row r="294" spans="1:11" x14ac:dyDescent="0.3">
      <c r="A294" s="11">
        <v>183540</v>
      </c>
      <c r="B294">
        <v>552</v>
      </c>
      <c r="C294" s="11">
        <v>40020</v>
      </c>
      <c r="D294" s="11">
        <v>350</v>
      </c>
      <c r="E294" s="11">
        <v>260</v>
      </c>
      <c r="F294" t="s">
        <v>28</v>
      </c>
      <c r="G294">
        <v>8</v>
      </c>
      <c r="I294" t="s">
        <v>28</v>
      </c>
      <c r="J294">
        <v>8</v>
      </c>
      <c r="K294" s="11">
        <v>47900</v>
      </c>
    </row>
    <row r="295" spans="1:11" x14ac:dyDescent="0.3">
      <c r="A295" s="11">
        <v>30991.8</v>
      </c>
      <c r="B295">
        <v>2198</v>
      </c>
      <c r="C295" s="11">
        <v>9011.7999999999993</v>
      </c>
      <c r="D295" s="11">
        <v>15</v>
      </c>
      <c r="E295" s="11">
        <v>10</v>
      </c>
      <c r="F295" t="s">
        <v>28</v>
      </c>
      <c r="G295">
        <v>8</v>
      </c>
      <c r="I295" t="s">
        <v>28</v>
      </c>
      <c r="J295">
        <v>8</v>
      </c>
      <c r="K295" s="11">
        <v>1766</v>
      </c>
    </row>
    <row r="296" spans="1:11" x14ac:dyDescent="0.3">
      <c r="A296" s="11">
        <v>24576.3</v>
      </c>
      <c r="B296">
        <v>1743</v>
      </c>
      <c r="C296" s="11">
        <v>7146.2999999999993</v>
      </c>
      <c r="D296" s="11">
        <v>15</v>
      </c>
      <c r="E296" s="11">
        <v>10</v>
      </c>
      <c r="F296" t="s">
        <v>28</v>
      </c>
      <c r="G296">
        <v>8</v>
      </c>
      <c r="I296" t="s">
        <v>28</v>
      </c>
      <c r="J296">
        <v>8</v>
      </c>
      <c r="K296" s="11">
        <v>14105</v>
      </c>
    </row>
    <row r="297" spans="1:11" x14ac:dyDescent="0.3">
      <c r="A297" s="11">
        <v>18818.8</v>
      </c>
      <c r="B297">
        <v>1001</v>
      </c>
      <c r="C297" s="11">
        <v>8808.7999999999993</v>
      </c>
      <c r="D297" s="11">
        <v>20</v>
      </c>
      <c r="E297" s="11">
        <v>120</v>
      </c>
      <c r="F297" t="s">
        <v>28</v>
      </c>
      <c r="G297">
        <v>8</v>
      </c>
      <c r="I297" t="s">
        <v>28</v>
      </c>
      <c r="J297">
        <v>8</v>
      </c>
      <c r="K297" s="11">
        <v>19269</v>
      </c>
    </row>
    <row r="298" spans="1:11" x14ac:dyDescent="0.3">
      <c r="A298" s="11">
        <v>21025.439999999999</v>
      </c>
      <c r="B298">
        <v>1884</v>
      </c>
      <c r="C298" s="11">
        <v>15373.439999999999</v>
      </c>
      <c r="D298" s="11">
        <v>12</v>
      </c>
      <c r="E298" s="11">
        <v>3</v>
      </c>
      <c r="F298" t="s">
        <v>28</v>
      </c>
      <c r="G298">
        <v>8</v>
      </c>
      <c r="I298" t="s">
        <v>28</v>
      </c>
      <c r="J298">
        <v>8</v>
      </c>
      <c r="K298" s="11">
        <v>3531.8999999999996</v>
      </c>
    </row>
    <row r="299" spans="1:11" x14ac:dyDescent="0.3">
      <c r="A299" s="11">
        <v>29308.95</v>
      </c>
      <c r="B299">
        <v>2101</v>
      </c>
      <c r="C299" s="11">
        <v>8298.9500000000007</v>
      </c>
      <c r="D299" s="11">
        <v>15</v>
      </c>
      <c r="E299" s="11">
        <v>10</v>
      </c>
      <c r="F299" t="s">
        <v>28</v>
      </c>
      <c r="G299">
        <v>8</v>
      </c>
      <c r="I299" t="s">
        <v>28</v>
      </c>
      <c r="J299">
        <v>8</v>
      </c>
      <c r="K299" s="11">
        <v>3461.25</v>
      </c>
    </row>
    <row r="300" spans="1:11" x14ac:dyDescent="0.3">
      <c r="A300" s="11">
        <v>11327.4</v>
      </c>
      <c r="B300">
        <v>609</v>
      </c>
      <c r="C300" s="11">
        <v>5237.3999999999996</v>
      </c>
      <c r="D300" s="11">
        <v>20</v>
      </c>
      <c r="E300" s="11">
        <v>120</v>
      </c>
      <c r="F300" t="s">
        <v>28</v>
      </c>
      <c r="G300">
        <v>8</v>
      </c>
      <c r="I300" t="s">
        <v>28</v>
      </c>
      <c r="J300">
        <v>8</v>
      </c>
      <c r="K300" s="11">
        <v>76834</v>
      </c>
    </row>
    <row r="301" spans="1:11" x14ac:dyDescent="0.3">
      <c r="A301" s="11">
        <v>177100</v>
      </c>
      <c r="B301">
        <v>1540</v>
      </c>
      <c r="C301" s="11">
        <v>-7700</v>
      </c>
      <c r="D301" s="11">
        <v>125</v>
      </c>
      <c r="E301" s="11">
        <v>3</v>
      </c>
      <c r="F301" t="s">
        <v>28</v>
      </c>
      <c r="G301">
        <v>8</v>
      </c>
      <c r="I301" t="s">
        <v>28</v>
      </c>
      <c r="J301">
        <v>8</v>
      </c>
      <c r="K301" s="11">
        <v>130539</v>
      </c>
    </row>
    <row r="302" spans="1:11" x14ac:dyDescent="0.3">
      <c r="A302" s="11">
        <v>431112</v>
      </c>
      <c r="B302">
        <v>1562</v>
      </c>
      <c r="C302" s="11">
        <v>40612</v>
      </c>
      <c r="D302" s="11">
        <v>300</v>
      </c>
      <c r="E302" s="11">
        <v>5</v>
      </c>
      <c r="F302" t="s">
        <v>28</v>
      </c>
      <c r="G302">
        <v>8</v>
      </c>
      <c r="I302" t="s">
        <v>28</v>
      </c>
      <c r="J302">
        <v>8</v>
      </c>
      <c r="K302" s="11">
        <v>70642</v>
      </c>
    </row>
    <row r="303" spans="1:11" x14ac:dyDescent="0.3">
      <c r="A303" s="11">
        <v>4366.32</v>
      </c>
      <c r="B303">
        <v>678</v>
      </c>
      <c r="C303" s="11">
        <v>976.31999999999971</v>
      </c>
      <c r="D303" s="11">
        <v>7</v>
      </c>
      <c r="E303" s="11">
        <v>10</v>
      </c>
      <c r="F303" t="s">
        <v>28</v>
      </c>
      <c r="G303">
        <v>8</v>
      </c>
      <c r="I303" t="s">
        <v>28</v>
      </c>
      <c r="J303">
        <v>8</v>
      </c>
      <c r="K303" s="11">
        <v>9433.2000000000007</v>
      </c>
    </row>
    <row r="304" spans="1:11" x14ac:dyDescent="0.3">
      <c r="A304" s="11">
        <v>10291.120000000001</v>
      </c>
      <c r="B304">
        <v>1598</v>
      </c>
      <c r="C304" s="11">
        <v>2301.1200000000008</v>
      </c>
      <c r="D304" s="11">
        <v>7</v>
      </c>
      <c r="E304" s="11">
        <v>10</v>
      </c>
      <c r="F304" t="s">
        <v>28</v>
      </c>
      <c r="G304">
        <v>8</v>
      </c>
      <c r="I304" t="s">
        <v>28</v>
      </c>
      <c r="J304">
        <v>8</v>
      </c>
      <c r="K304" s="11">
        <v>25488</v>
      </c>
    </row>
    <row r="305" spans="1:11" x14ac:dyDescent="0.3">
      <c r="A305" s="11">
        <v>122682</v>
      </c>
      <c r="B305">
        <v>381</v>
      </c>
      <c r="C305" s="11">
        <v>23622</v>
      </c>
      <c r="D305" s="11">
        <v>350</v>
      </c>
      <c r="E305" s="11">
        <v>250</v>
      </c>
      <c r="F305" t="s">
        <v>28</v>
      </c>
      <c r="G305">
        <v>8</v>
      </c>
      <c r="I305" t="s">
        <v>28</v>
      </c>
      <c r="J305">
        <v>8</v>
      </c>
      <c r="K305" s="11">
        <v>14211</v>
      </c>
    </row>
    <row r="306" spans="1:11" x14ac:dyDescent="0.3">
      <c r="A306" s="11">
        <v>135884</v>
      </c>
      <c r="B306">
        <v>422</v>
      </c>
      <c r="C306" s="11">
        <v>26164</v>
      </c>
      <c r="D306" s="11">
        <v>350</v>
      </c>
      <c r="E306" s="11">
        <v>250</v>
      </c>
      <c r="F306" t="s">
        <v>28</v>
      </c>
      <c r="G306">
        <v>8</v>
      </c>
      <c r="I306" t="s">
        <v>28</v>
      </c>
      <c r="J306">
        <v>8</v>
      </c>
      <c r="K306" s="11">
        <v>40020</v>
      </c>
    </row>
    <row r="307" spans="1:11" x14ac:dyDescent="0.3">
      <c r="A307" s="11">
        <v>884205</v>
      </c>
      <c r="B307">
        <v>2807</v>
      </c>
      <c r="C307" s="11">
        <v>154385</v>
      </c>
      <c r="D307" s="11">
        <v>350</v>
      </c>
      <c r="E307" s="11">
        <v>250</v>
      </c>
      <c r="F307" t="s">
        <v>28</v>
      </c>
      <c r="G307">
        <v>8</v>
      </c>
      <c r="I307" t="s">
        <v>28</v>
      </c>
      <c r="J307">
        <v>8</v>
      </c>
      <c r="K307" s="11">
        <v>9011.7999999999993</v>
      </c>
    </row>
    <row r="308" spans="1:11" x14ac:dyDescent="0.3">
      <c r="A308" s="11">
        <v>27799.200000000001</v>
      </c>
      <c r="B308">
        <v>2574</v>
      </c>
      <c r="C308" s="11">
        <v>20077.2</v>
      </c>
      <c r="D308" s="11">
        <v>12</v>
      </c>
      <c r="E308" s="11">
        <v>260</v>
      </c>
      <c r="F308" t="s">
        <v>28</v>
      </c>
      <c r="G308">
        <v>8</v>
      </c>
      <c r="I308" t="s">
        <v>28</v>
      </c>
      <c r="J308">
        <v>8</v>
      </c>
      <c r="K308" s="11">
        <v>7146.2999999999993</v>
      </c>
    </row>
    <row r="309" spans="1:11" x14ac:dyDescent="0.3">
      <c r="A309" s="11">
        <v>42613.2</v>
      </c>
      <c r="B309">
        <v>2394</v>
      </c>
      <c r="C309" s="11">
        <v>18673.199999999997</v>
      </c>
      <c r="D309" s="11">
        <v>20</v>
      </c>
      <c r="E309" s="11">
        <v>10</v>
      </c>
      <c r="F309" t="s">
        <v>28</v>
      </c>
      <c r="G309">
        <v>8</v>
      </c>
      <c r="I309" t="s">
        <v>28</v>
      </c>
      <c r="J309">
        <v>8</v>
      </c>
      <c r="K309" s="11">
        <v>8808.7999999999993</v>
      </c>
    </row>
    <row r="310" spans="1:11" x14ac:dyDescent="0.3">
      <c r="A310" s="11">
        <v>26486.400000000001</v>
      </c>
      <c r="B310">
        <v>1984</v>
      </c>
      <c r="C310" s="11">
        <v>6646.4000000000015</v>
      </c>
      <c r="D310" s="11">
        <v>15</v>
      </c>
      <c r="E310" s="11">
        <v>10</v>
      </c>
      <c r="F310" t="s">
        <v>28</v>
      </c>
      <c r="G310">
        <v>8</v>
      </c>
      <c r="I310" t="s">
        <v>28</v>
      </c>
      <c r="J310">
        <v>8</v>
      </c>
      <c r="K310" s="11">
        <v>15373.439999999999</v>
      </c>
    </row>
    <row r="311" spans="1:11" x14ac:dyDescent="0.3">
      <c r="A311" s="11">
        <v>16418.64</v>
      </c>
      <c r="B311">
        <v>2696</v>
      </c>
      <c r="C311" s="11">
        <v>2938.6399999999994</v>
      </c>
      <c r="D311" s="11">
        <v>7</v>
      </c>
      <c r="E311" s="11">
        <v>10</v>
      </c>
      <c r="F311" t="s">
        <v>28</v>
      </c>
      <c r="G311">
        <v>8</v>
      </c>
      <c r="I311" t="s">
        <v>28</v>
      </c>
      <c r="J311">
        <v>8</v>
      </c>
      <c r="K311" s="11">
        <v>8298.9500000000007</v>
      </c>
    </row>
    <row r="312" spans="1:11" x14ac:dyDescent="0.3">
      <c r="A312" s="11">
        <v>655578</v>
      </c>
      <c r="B312">
        <v>2541</v>
      </c>
      <c r="C312" s="11">
        <v>20328</v>
      </c>
      <c r="D312" s="11">
        <v>300</v>
      </c>
      <c r="E312" s="11">
        <v>250</v>
      </c>
      <c r="F312" t="s">
        <v>28</v>
      </c>
      <c r="G312">
        <v>8</v>
      </c>
      <c r="I312" t="s">
        <v>28</v>
      </c>
      <c r="J312">
        <v>8</v>
      </c>
      <c r="K312" s="11">
        <v>5237.3999999999996</v>
      </c>
    </row>
    <row r="313" spans="1:11" x14ac:dyDescent="0.3">
      <c r="A313" s="11">
        <v>25542</v>
      </c>
      <c r="B313">
        <v>2475</v>
      </c>
      <c r="C313" s="11">
        <v>18117</v>
      </c>
      <c r="D313" s="11">
        <v>12</v>
      </c>
      <c r="E313" s="11">
        <v>260</v>
      </c>
      <c r="F313" t="s">
        <v>28</v>
      </c>
      <c r="G313">
        <v>8</v>
      </c>
      <c r="I313" t="s">
        <v>28</v>
      </c>
      <c r="J313">
        <v>8</v>
      </c>
      <c r="K313" s="11">
        <v>-7700</v>
      </c>
    </row>
    <row r="314" spans="1:11" x14ac:dyDescent="0.3">
      <c r="A314" s="11">
        <v>124737.5</v>
      </c>
      <c r="B314">
        <v>1174</v>
      </c>
      <c r="C314" s="11">
        <v>-16142.5</v>
      </c>
      <c r="D314" s="11">
        <v>125</v>
      </c>
      <c r="E314" s="11">
        <v>3</v>
      </c>
      <c r="F314" t="s">
        <v>28</v>
      </c>
      <c r="G314">
        <v>8</v>
      </c>
      <c r="I314" t="s">
        <v>28</v>
      </c>
      <c r="J314">
        <v>8</v>
      </c>
      <c r="K314" s="11">
        <v>40612</v>
      </c>
    </row>
    <row r="315" spans="1:11" x14ac:dyDescent="0.3">
      <c r="A315" s="11">
        <v>293993.75</v>
      </c>
      <c r="B315">
        <v>2767</v>
      </c>
      <c r="C315" s="11">
        <v>-38046.25</v>
      </c>
      <c r="D315" s="11">
        <v>125</v>
      </c>
      <c r="E315" s="11">
        <v>3</v>
      </c>
      <c r="F315" t="s">
        <v>28</v>
      </c>
      <c r="G315">
        <v>8</v>
      </c>
      <c r="I315" t="s">
        <v>28</v>
      </c>
      <c r="J315">
        <v>8</v>
      </c>
      <c r="K315" s="11">
        <v>976.31999999999971</v>
      </c>
    </row>
    <row r="316" spans="1:11" x14ac:dyDescent="0.3">
      <c r="A316" s="11">
        <v>32627.25</v>
      </c>
      <c r="B316">
        <v>2559</v>
      </c>
      <c r="C316" s="11">
        <v>7037.25</v>
      </c>
      <c r="D316" s="11">
        <v>15</v>
      </c>
      <c r="E316" s="11">
        <v>10</v>
      </c>
      <c r="F316" t="s">
        <v>28</v>
      </c>
      <c r="G316">
        <v>8</v>
      </c>
      <c r="I316" t="s">
        <v>28</v>
      </c>
      <c r="J316">
        <v>8</v>
      </c>
      <c r="K316" s="11">
        <v>2301.1200000000008</v>
      </c>
    </row>
    <row r="317" spans="1:11" x14ac:dyDescent="0.3">
      <c r="A317" s="11">
        <v>15022</v>
      </c>
      <c r="B317">
        <v>2146</v>
      </c>
      <c r="C317" s="11">
        <v>4292</v>
      </c>
      <c r="D317" s="11">
        <v>7</v>
      </c>
      <c r="E317" s="11">
        <v>5</v>
      </c>
      <c r="F317" t="s">
        <v>29</v>
      </c>
      <c r="G317">
        <v>9</v>
      </c>
      <c r="I317" t="s">
        <v>28</v>
      </c>
      <c r="J317">
        <v>8</v>
      </c>
      <c r="K317" s="11">
        <v>23622</v>
      </c>
    </row>
    <row r="318" spans="1:11" x14ac:dyDescent="0.3">
      <c r="A318" s="11">
        <v>8235</v>
      </c>
      <c r="B318">
        <v>549</v>
      </c>
      <c r="C318" s="11">
        <v>2745</v>
      </c>
      <c r="D318" s="11">
        <v>15</v>
      </c>
      <c r="E318" s="11">
        <v>10</v>
      </c>
      <c r="F318" t="s">
        <v>29</v>
      </c>
      <c r="G318">
        <v>9</v>
      </c>
      <c r="I318" t="s">
        <v>28</v>
      </c>
      <c r="J318">
        <v>8</v>
      </c>
      <c r="K318" s="11">
        <v>26164</v>
      </c>
    </row>
    <row r="319" spans="1:11" x14ac:dyDescent="0.3">
      <c r="A319" s="11">
        <v>236400</v>
      </c>
      <c r="B319">
        <v>788</v>
      </c>
      <c r="C319" s="11">
        <v>39400</v>
      </c>
      <c r="D319" s="11">
        <v>300</v>
      </c>
      <c r="E319" s="11">
        <v>10</v>
      </c>
      <c r="F319" t="s">
        <v>29</v>
      </c>
      <c r="G319">
        <v>9</v>
      </c>
      <c r="I319" t="s">
        <v>28</v>
      </c>
      <c r="J319">
        <v>8</v>
      </c>
      <c r="K319" s="11">
        <v>154385</v>
      </c>
    </row>
    <row r="320" spans="1:11" x14ac:dyDescent="0.3">
      <c r="A320" s="11">
        <v>37080</v>
      </c>
      <c r="B320">
        <v>2472</v>
      </c>
      <c r="C320" s="11">
        <v>12360</v>
      </c>
      <c r="D320" s="11">
        <v>15</v>
      </c>
      <c r="E320" s="11">
        <v>10</v>
      </c>
      <c r="F320" t="s">
        <v>29</v>
      </c>
      <c r="G320">
        <v>9</v>
      </c>
      <c r="I320" t="s">
        <v>28</v>
      </c>
      <c r="J320">
        <v>8</v>
      </c>
      <c r="K320" s="11">
        <v>20077.2</v>
      </c>
    </row>
    <row r="321" spans="1:11" x14ac:dyDescent="0.3">
      <c r="A321" s="11">
        <v>534450</v>
      </c>
      <c r="B321">
        <v>1527</v>
      </c>
      <c r="C321" s="11">
        <v>137430</v>
      </c>
      <c r="D321" s="11">
        <v>350</v>
      </c>
      <c r="E321" s="11">
        <v>250</v>
      </c>
      <c r="F321" t="s">
        <v>29</v>
      </c>
      <c r="G321">
        <v>9</v>
      </c>
      <c r="I321" t="s">
        <v>28</v>
      </c>
      <c r="J321">
        <v>8</v>
      </c>
      <c r="K321" s="11">
        <v>18673.199999999997</v>
      </c>
    </row>
    <row r="322" spans="1:11" x14ac:dyDescent="0.3">
      <c r="A322" s="11">
        <v>645300</v>
      </c>
      <c r="B322">
        <v>2151</v>
      </c>
      <c r="C322" s="11">
        <v>107550</v>
      </c>
      <c r="D322" s="11">
        <v>300</v>
      </c>
      <c r="E322" s="11">
        <v>250</v>
      </c>
      <c r="F322" t="s">
        <v>29</v>
      </c>
      <c r="G322">
        <v>9</v>
      </c>
      <c r="I322" t="s">
        <v>28</v>
      </c>
      <c r="J322">
        <v>8</v>
      </c>
      <c r="K322" s="11">
        <v>6646.4000000000015</v>
      </c>
    </row>
    <row r="323" spans="1:11" x14ac:dyDescent="0.3">
      <c r="A323" s="11">
        <v>17166.599999999999</v>
      </c>
      <c r="B323">
        <v>1445</v>
      </c>
      <c r="C323" s="11">
        <v>12831.599999999999</v>
      </c>
      <c r="D323" s="11">
        <v>12</v>
      </c>
      <c r="E323" s="11">
        <v>3</v>
      </c>
      <c r="F323" t="s">
        <v>29</v>
      </c>
      <c r="G323">
        <v>9</v>
      </c>
      <c r="I323" t="s">
        <v>28</v>
      </c>
      <c r="J323">
        <v>8</v>
      </c>
      <c r="K323" s="11">
        <v>2938.6399999999994</v>
      </c>
    </row>
    <row r="324" spans="1:11" x14ac:dyDescent="0.3">
      <c r="A324" s="11">
        <v>40837.5</v>
      </c>
      <c r="B324">
        <v>330</v>
      </c>
      <c r="C324" s="11">
        <v>1237.5</v>
      </c>
      <c r="D324" s="11">
        <v>125</v>
      </c>
      <c r="E324" s="11">
        <v>3</v>
      </c>
      <c r="F324" t="s">
        <v>29</v>
      </c>
      <c r="G324">
        <v>9</v>
      </c>
      <c r="I324" t="s">
        <v>28</v>
      </c>
      <c r="J324">
        <v>8</v>
      </c>
      <c r="K324" s="11">
        <v>20328</v>
      </c>
    </row>
    <row r="325" spans="1:11" x14ac:dyDescent="0.3">
      <c r="A325" s="11">
        <v>31731.48</v>
      </c>
      <c r="B325">
        <v>2671</v>
      </c>
      <c r="C325" s="11">
        <v>23718.48</v>
      </c>
      <c r="D325" s="11">
        <v>12</v>
      </c>
      <c r="E325" s="11">
        <v>3</v>
      </c>
      <c r="F325" t="s">
        <v>29</v>
      </c>
      <c r="G325">
        <v>9</v>
      </c>
      <c r="I325" t="s">
        <v>28</v>
      </c>
      <c r="J325">
        <v>8</v>
      </c>
      <c r="K325" s="11">
        <v>18117</v>
      </c>
    </row>
    <row r="326" spans="1:11" x14ac:dyDescent="0.3">
      <c r="A326" s="11">
        <v>741906</v>
      </c>
      <c r="B326">
        <v>2498</v>
      </c>
      <c r="C326" s="11">
        <v>117406</v>
      </c>
      <c r="D326" s="11">
        <v>300</v>
      </c>
      <c r="E326" s="11">
        <v>5</v>
      </c>
      <c r="F326" t="s">
        <v>29</v>
      </c>
      <c r="G326">
        <v>9</v>
      </c>
      <c r="I326" t="s">
        <v>28</v>
      </c>
      <c r="J326">
        <v>8</v>
      </c>
      <c r="K326" s="11">
        <v>-16142.5</v>
      </c>
    </row>
    <row r="327" spans="1:11" x14ac:dyDescent="0.3">
      <c r="A327" s="11">
        <v>11092.95</v>
      </c>
      <c r="B327">
        <v>747</v>
      </c>
      <c r="C327" s="11">
        <v>3622.9500000000007</v>
      </c>
      <c r="D327" s="11">
        <v>15</v>
      </c>
      <c r="E327" s="11">
        <v>10</v>
      </c>
      <c r="F327" t="s">
        <v>29</v>
      </c>
      <c r="G327">
        <v>9</v>
      </c>
      <c r="I327" t="s">
        <v>28</v>
      </c>
      <c r="J327">
        <v>8</v>
      </c>
      <c r="K327" s="11">
        <v>-38046.25</v>
      </c>
    </row>
    <row r="328" spans="1:11" x14ac:dyDescent="0.3">
      <c r="A328" s="11">
        <v>292842</v>
      </c>
      <c r="B328">
        <v>986</v>
      </c>
      <c r="C328" s="11">
        <v>46342</v>
      </c>
      <c r="D328" s="11">
        <v>300</v>
      </c>
      <c r="E328" s="11">
        <v>250</v>
      </c>
      <c r="F328" t="s">
        <v>29</v>
      </c>
      <c r="G328">
        <v>9</v>
      </c>
      <c r="I328" t="s">
        <v>28</v>
      </c>
      <c r="J328">
        <v>8</v>
      </c>
      <c r="K328" s="11">
        <v>7037.25</v>
      </c>
    </row>
    <row r="329" spans="1:11" x14ac:dyDescent="0.3">
      <c r="A329" s="11">
        <v>23629.32</v>
      </c>
      <c r="B329">
        <v>1989</v>
      </c>
      <c r="C329" s="11">
        <v>17662.32</v>
      </c>
      <c r="D329" s="11">
        <v>12</v>
      </c>
      <c r="E329" s="11">
        <v>260</v>
      </c>
      <c r="F329" t="s">
        <v>29</v>
      </c>
      <c r="G329">
        <v>9</v>
      </c>
      <c r="I329" t="s">
        <v>29</v>
      </c>
      <c r="J329">
        <v>9</v>
      </c>
      <c r="K329" s="11">
        <v>4292</v>
      </c>
    </row>
    <row r="330" spans="1:11" x14ac:dyDescent="0.3">
      <c r="A330" s="11">
        <v>22663.08</v>
      </c>
      <c r="B330">
        <v>1947</v>
      </c>
      <c r="C330" s="11">
        <v>16822.080000000002</v>
      </c>
      <c r="D330" s="11">
        <v>12</v>
      </c>
      <c r="E330" s="11">
        <v>3</v>
      </c>
      <c r="F330" t="s">
        <v>29</v>
      </c>
      <c r="G330">
        <v>9</v>
      </c>
      <c r="I330" t="s">
        <v>29</v>
      </c>
      <c r="J330">
        <v>9</v>
      </c>
      <c r="K330" s="11">
        <v>2745</v>
      </c>
    </row>
    <row r="331" spans="1:11" x14ac:dyDescent="0.3">
      <c r="A331" s="11">
        <v>3693.76</v>
      </c>
      <c r="B331">
        <v>544</v>
      </c>
      <c r="C331" s="11">
        <v>973.76000000000022</v>
      </c>
      <c r="D331" s="11">
        <v>7</v>
      </c>
      <c r="E331" s="11">
        <v>5</v>
      </c>
      <c r="F331" t="s">
        <v>29</v>
      </c>
      <c r="G331">
        <v>9</v>
      </c>
      <c r="I331" t="s">
        <v>29</v>
      </c>
      <c r="J331">
        <v>9</v>
      </c>
      <c r="K331" s="11">
        <v>39400</v>
      </c>
    </row>
    <row r="332" spans="1:11" x14ac:dyDescent="0.3">
      <c r="A332" s="11">
        <v>610081.5</v>
      </c>
      <c r="B332">
        <v>1797</v>
      </c>
      <c r="C332" s="11">
        <v>142861.5</v>
      </c>
      <c r="D332" s="11">
        <v>350</v>
      </c>
      <c r="E332" s="11">
        <v>5</v>
      </c>
      <c r="F332" t="s">
        <v>29</v>
      </c>
      <c r="G332">
        <v>9</v>
      </c>
      <c r="I332" t="s">
        <v>29</v>
      </c>
      <c r="J332">
        <v>9</v>
      </c>
      <c r="K332" s="11">
        <v>12360</v>
      </c>
    </row>
    <row r="333" spans="1:11" x14ac:dyDescent="0.3">
      <c r="A333" s="11">
        <v>11950.4</v>
      </c>
      <c r="B333">
        <v>1760</v>
      </c>
      <c r="C333" s="11">
        <v>3150.3999999999996</v>
      </c>
      <c r="D333" s="11">
        <v>7</v>
      </c>
      <c r="E333" s="11">
        <v>10</v>
      </c>
      <c r="F333" t="s">
        <v>29</v>
      </c>
      <c r="G333">
        <v>9</v>
      </c>
      <c r="I333" t="s">
        <v>29</v>
      </c>
      <c r="J333">
        <v>9</v>
      </c>
      <c r="K333" s="11">
        <v>137430</v>
      </c>
    </row>
    <row r="334" spans="1:11" x14ac:dyDescent="0.3">
      <c r="A334" s="11">
        <v>14131.2</v>
      </c>
      <c r="B334">
        <v>736</v>
      </c>
      <c r="C334" s="11">
        <v>6771.2000000000007</v>
      </c>
      <c r="D334" s="11">
        <v>20</v>
      </c>
      <c r="E334" s="11">
        <v>120</v>
      </c>
      <c r="F334" t="s">
        <v>29</v>
      </c>
      <c r="G334">
        <v>9</v>
      </c>
      <c r="I334" t="s">
        <v>29</v>
      </c>
      <c r="J334">
        <v>9</v>
      </c>
      <c r="K334" s="11">
        <v>107550</v>
      </c>
    </row>
    <row r="335" spans="1:11" x14ac:dyDescent="0.3">
      <c r="A335" s="11">
        <v>3139.2</v>
      </c>
      <c r="B335">
        <v>218</v>
      </c>
      <c r="C335" s="11">
        <v>959.19999999999982</v>
      </c>
      <c r="D335" s="11">
        <v>15</v>
      </c>
      <c r="E335" s="11">
        <v>10</v>
      </c>
      <c r="F335" t="s">
        <v>29</v>
      </c>
      <c r="G335">
        <v>9</v>
      </c>
      <c r="I335" t="s">
        <v>29</v>
      </c>
      <c r="J335">
        <v>9</v>
      </c>
      <c r="K335" s="11">
        <v>12831.599999999999</v>
      </c>
    </row>
    <row r="336" spans="1:11" x14ac:dyDescent="0.3">
      <c r="A336" s="11">
        <v>39820.800000000003</v>
      </c>
      <c r="B336">
        <v>2074</v>
      </c>
      <c r="C336" s="11">
        <v>19080.800000000003</v>
      </c>
      <c r="D336" s="11">
        <v>20</v>
      </c>
      <c r="E336" s="11">
        <v>10</v>
      </c>
      <c r="F336" t="s">
        <v>29</v>
      </c>
      <c r="G336">
        <v>9</v>
      </c>
      <c r="I336" t="s">
        <v>29</v>
      </c>
      <c r="J336">
        <v>9</v>
      </c>
      <c r="K336" s="11">
        <v>1237.5</v>
      </c>
    </row>
    <row r="337" spans="1:11" x14ac:dyDescent="0.3">
      <c r="A337" s="11">
        <v>20275.2</v>
      </c>
      <c r="B337">
        <v>1056</v>
      </c>
      <c r="C337" s="11">
        <v>9715.2000000000007</v>
      </c>
      <c r="D337" s="11">
        <v>20</v>
      </c>
      <c r="E337" s="11">
        <v>10</v>
      </c>
      <c r="F337" t="s">
        <v>29</v>
      </c>
      <c r="G337">
        <v>9</v>
      </c>
      <c r="I337" t="s">
        <v>29</v>
      </c>
      <c r="J337">
        <v>9</v>
      </c>
      <c r="K337" s="11">
        <v>23718.48</v>
      </c>
    </row>
    <row r="338" spans="1:11" x14ac:dyDescent="0.3">
      <c r="A338" s="11">
        <v>50803.199999999997</v>
      </c>
      <c r="B338">
        <v>2646</v>
      </c>
      <c r="C338" s="11">
        <v>24343.199999999997</v>
      </c>
      <c r="D338" s="11">
        <v>20</v>
      </c>
      <c r="E338" s="11">
        <v>120</v>
      </c>
      <c r="F338" t="s">
        <v>29</v>
      </c>
      <c r="G338">
        <v>9</v>
      </c>
      <c r="I338" t="s">
        <v>29</v>
      </c>
      <c r="J338">
        <v>9</v>
      </c>
      <c r="K338" s="11">
        <v>117406</v>
      </c>
    </row>
    <row r="339" spans="1:11" x14ac:dyDescent="0.3">
      <c r="A339" s="11">
        <v>117264</v>
      </c>
      <c r="B339">
        <v>349</v>
      </c>
      <c r="C339" s="11">
        <v>26524</v>
      </c>
      <c r="D339" s="11">
        <v>350</v>
      </c>
      <c r="E339" s="11">
        <v>250</v>
      </c>
      <c r="F339" t="s">
        <v>29</v>
      </c>
      <c r="G339">
        <v>9</v>
      </c>
      <c r="I339" t="s">
        <v>29</v>
      </c>
      <c r="J339">
        <v>9</v>
      </c>
      <c r="K339" s="11">
        <v>3622.9500000000007</v>
      </c>
    </row>
    <row r="340" spans="1:11" x14ac:dyDescent="0.3">
      <c r="A340" s="11">
        <v>640752</v>
      </c>
      <c r="B340">
        <v>1907</v>
      </c>
      <c r="C340" s="11">
        <v>144932</v>
      </c>
      <c r="D340" s="11">
        <v>350</v>
      </c>
      <c r="E340" s="11">
        <v>260</v>
      </c>
      <c r="F340" t="s">
        <v>29</v>
      </c>
      <c r="G340">
        <v>9</v>
      </c>
      <c r="I340" t="s">
        <v>29</v>
      </c>
      <c r="J340">
        <v>9</v>
      </c>
      <c r="K340" s="11">
        <v>46342</v>
      </c>
    </row>
    <row r="341" spans="1:11" x14ac:dyDescent="0.3">
      <c r="A341" s="11">
        <v>15620.85</v>
      </c>
      <c r="B341">
        <v>2349</v>
      </c>
      <c r="C341" s="11">
        <v>3875.8500000000004</v>
      </c>
      <c r="D341" s="11">
        <v>7</v>
      </c>
      <c r="E341" s="11">
        <v>10</v>
      </c>
      <c r="F341" t="s">
        <v>29</v>
      </c>
      <c r="G341">
        <v>9</v>
      </c>
      <c r="I341" t="s">
        <v>29</v>
      </c>
      <c r="J341">
        <v>9</v>
      </c>
      <c r="K341" s="11">
        <v>17662.32</v>
      </c>
    </row>
    <row r="342" spans="1:11" x14ac:dyDescent="0.3">
      <c r="A342" s="11">
        <v>239400</v>
      </c>
      <c r="B342">
        <v>720</v>
      </c>
      <c r="C342" s="11">
        <v>52200</v>
      </c>
      <c r="D342" s="11">
        <v>350</v>
      </c>
      <c r="E342" s="11">
        <v>5</v>
      </c>
      <c r="F342" t="s">
        <v>29</v>
      </c>
      <c r="G342">
        <v>9</v>
      </c>
      <c r="I342" t="s">
        <v>29</v>
      </c>
      <c r="J342">
        <v>9</v>
      </c>
      <c r="K342" s="11">
        <v>16822.080000000002</v>
      </c>
    </row>
    <row r="343" spans="1:11" x14ac:dyDescent="0.3">
      <c r="A343" s="11">
        <v>37335</v>
      </c>
      <c r="B343">
        <v>2620</v>
      </c>
      <c r="C343" s="11">
        <v>11135</v>
      </c>
      <c r="D343" s="11">
        <v>15</v>
      </c>
      <c r="E343" s="11">
        <v>10</v>
      </c>
      <c r="F343" t="s">
        <v>29</v>
      </c>
      <c r="G343">
        <v>9</v>
      </c>
      <c r="I343" t="s">
        <v>29</v>
      </c>
      <c r="J343">
        <v>9</v>
      </c>
      <c r="K343" s="11">
        <v>973.76000000000022</v>
      </c>
    </row>
    <row r="344" spans="1:11" x14ac:dyDescent="0.3">
      <c r="A344" s="11">
        <v>6339.36</v>
      </c>
      <c r="B344">
        <v>562</v>
      </c>
      <c r="C344" s="11">
        <v>4653.3599999999997</v>
      </c>
      <c r="D344" s="11">
        <v>12</v>
      </c>
      <c r="E344" s="11">
        <v>3</v>
      </c>
      <c r="F344" t="s">
        <v>29</v>
      </c>
      <c r="G344">
        <v>9</v>
      </c>
      <c r="I344" t="s">
        <v>29</v>
      </c>
      <c r="J344">
        <v>9</v>
      </c>
      <c r="K344" s="11">
        <v>142861.5</v>
      </c>
    </row>
    <row r="345" spans="1:11" x14ac:dyDescent="0.3">
      <c r="A345" s="11">
        <v>552391</v>
      </c>
      <c r="B345">
        <v>1679</v>
      </c>
      <c r="C345" s="11">
        <v>115851</v>
      </c>
      <c r="D345" s="11">
        <v>350</v>
      </c>
      <c r="E345" s="11">
        <v>260</v>
      </c>
      <c r="F345" t="s">
        <v>29</v>
      </c>
      <c r="G345">
        <v>9</v>
      </c>
      <c r="I345" t="s">
        <v>29</v>
      </c>
      <c r="J345">
        <v>9</v>
      </c>
      <c r="K345" s="11">
        <v>3150.3999999999996</v>
      </c>
    </row>
    <row r="346" spans="1:11" x14ac:dyDescent="0.3">
      <c r="A346" s="11">
        <v>34112.400000000001</v>
      </c>
      <c r="B346">
        <v>1834</v>
      </c>
      <c r="C346" s="11">
        <v>15772.400000000001</v>
      </c>
      <c r="D346" s="11">
        <v>20</v>
      </c>
      <c r="E346" s="11">
        <v>3</v>
      </c>
      <c r="F346" t="s">
        <v>29</v>
      </c>
      <c r="G346">
        <v>9</v>
      </c>
      <c r="I346" t="s">
        <v>29</v>
      </c>
      <c r="J346">
        <v>9</v>
      </c>
      <c r="K346" s="11">
        <v>6771.2000000000007</v>
      </c>
    </row>
    <row r="347" spans="1:11" x14ac:dyDescent="0.3">
      <c r="A347" s="11">
        <v>6711.81</v>
      </c>
      <c r="B347">
        <v>1031</v>
      </c>
      <c r="C347" s="11">
        <v>1556.8100000000004</v>
      </c>
      <c r="D347" s="11">
        <v>7</v>
      </c>
      <c r="E347" s="11">
        <v>10</v>
      </c>
      <c r="F347" t="s">
        <v>29</v>
      </c>
      <c r="G347">
        <v>9</v>
      </c>
      <c r="I347" t="s">
        <v>29</v>
      </c>
      <c r="J347">
        <v>9</v>
      </c>
      <c r="K347" s="11">
        <v>959.19999999999982</v>
      </c>
    </row>
    <row r="348" spans="1:11" x14ac:dyDescent="0.3">
      <c r="A348" s="11">
        <v>24719.4</v>
      </c>
      <c r="B348">
        <v>2215</v>
      </c>
      <c r="C348" s="11">
        <v>18074.400000000001</v>
      </c>
      <c r="D348" s="11">
        <v>12</v>
      </c>
      <c r="E348" s="11">
        <v>250</v>
      </c>
      <c r="F348" t="s">
        <v>29</v>
      </c>
      <c r="G348">
        <v>9</v>
      </c>
      <c r="I348" t="s">
        <v>29</v>
      </c>
      <c r="J348">
        <v>9</v>
      </c>
      <c r="K348" s="11">
        <v>19080.800000000003</v>
      </c>
    </row>
    <row r="349" spans="1:11" x14ac:dyDescent="0.3">
      <c r="A349" s="11">
        <v>40887.449999999997</v>
      </c>
      <c r="B349">
        <v>2931</v>
      </c>
      <c r="C349" s="11">
        <v>11577.449999999997</v>
      </c>
      <c r="D349" s="11">
        <v>15</v>
      </c>
      <c r="E349" s="11">
        <v>10</v>
      </c>
      <c r="F349" t="s">
        <v>29</v>
      </c>
      <c r="G349">
        <v>9</v>
      </c>
      <c r="I349" t="s">
        <v>29</v>
      </c>
      <c r="J349">
        <v>9</v>
      </c>
      <c r="K349" s="11">
        <v>9715.2000000000007</v>
      </c>
    </row>
    <row r="350" spans="1:11" x14ac:dyDescent="0.3">
      <c r="A350" s="11">
        <v>28551</v>
      </c>
      <c r="B350">
        <v>1535</v>
      </c>
      <c r="C350" s="11">
        <v>13201</v>
      </c>
      <c r="D350" s="11">
        <v>20</v>
      </c>
      <c r="E350" s="11">
        <v>10</v>
      </c>
      <c r="F350" t="s">
        <v>29</v>
      </c>
      <c r="G350">
        <v>9</v>
      </c>
      <c r="I350" t="s">
        <v>29</v>
      </c>
      <c r="J350">
        <v>9</v>
      </c>
      <c r="K350" s="11">
        <v>24343.199999999997</v>
      </c>
    </row>
    <row r="351" spans="1:11" x14ac:dyDescent="0.3">
      <c r="A351" s="11">
        <v>313317</v>
      </c>
      <c r="B351">
        <v>1123</v>
      </c>
      <c r="C351" s="11">
        <v>32567</v>
      </c>
      <c r="D351" s="11">
        <v>300</v>
      </c>
      <c r="E351" s="11">
        <v>10</v>
      </c>
      <c r="F351" t="s">
        <v>29</v>
      </c>
      <c r="G351">
        <v>9</v>
      </c>
      <c r="I351" t="s">
        <v>29</v>
      </c>
      <c r="J351">
        <v>9</v>
      </c>
      <c r="K351" s="11">
        <v>26524</v>
      </c>
    </row>
    <row r="352" spans="1:11" x14ac:dyDescent="0.3">
      <c r="A352" s="11">
        <v>242613.75</v>
      </c>
      <c r="B352">
        <v>2087</v>
      </c>
      <c r="C352" s="11">
        <v>-7826.25</v>
      </c>
      <c r="D352" s="11">
        <v>125</v>
      </c>
      <c r="E352" s="11">
        <v>120</v>
      </c>
      <c r="F352" t="s">
        <v>29</v>
      </c>
      <c r="G352">
        <v>9</v>
      </c>
      <c r="I352" t="s">
        <v>29</v>
      </c>
      <c r="J352">
        <v>9</v>
      </c>
      <c r="K352" s="11">
        <v>144932</v>
      </c>
    </row>
    <row r="353" spans="1:11" x14ac:dyDescent="0.3">
      <c r="A353" s="11">
        <v>936138</v>
      </c>
      <c r="B353">
        <v>2876</v>
      </c>
      <c r="C353" s="11">
        <v>188378</v>
      </c>
      <c r="D353" s="11">
        <v>350</v>
      </c>
      <c r="E353" s="11">
        <v>260</v>
      </c>
      <c r="F353" t="s">
        <v>29</v>
      </c>
      <c r="G353">
        <v>9</v>
      </c>
      <c r="I353" t="s">
        <v>29</v>
      </c>
      <c r="J353">
        <v>9</v>
      </c>
      <c r="K353" s="11">
        <v>3875.8500000000004</v>
      </c>
    </row>
    <row r="354" spans="1:11" x14ac:dyDescent="0.3">
      <c r="A354" s="11">
        <v>115552.5</v>
      </c>
      <c r="B354">
        <v>994</v>
      </c>
      <c r="C354" s="11">
        <v>-3727.5</v>
      </c>
      <c r="D354" s="11">
        <v>125</v>
      </c>
      <c r="E354" s="11">
        <v>260</v>
      </c>
      <c r="F354" t="s">
        <v>29</v>
      </c>
      <c r="G354">
        <v>9</v>
      </c>
      <c r="I354" t="s">
        <v>29</v>
      </c>
      <c r="J354">
        <v>9</v>
      </c>
      <c r="K354" s="11">
        <v>52200</v>
      </c>
    </row>
    <row r="355" spans="1:11" x14ac:dyDescent="0.3">
      <c r="A355" s="11">
        <v>354108</v>
      </c>
      <c r="B355">
        <v>1283</v>
      </c>
      <c r="C355" s="11">
        <v>33358</v>
      </c>
      <c r="D355" s="11">
        <v>300</v>
      </c>
      <c r="E355" s="11">
        <v>5</v>
      </c>
      <c r="F355" t="s">
        <v>29</v>
      </c>
      <c r="G355">
        <v>9</v>
      </c>
      <c r="I355" t="s">
        <v>29</v>
      </c>
      <c r="J355">
        <v>9</v>
      </c>
      <c r="K355" s="11">
        <v>11135</v>
      </c>
    </row>
    <row r="356" spans="1:11" x14ac:dyDescent="0.3">
      <c r="A356" s="11">
        <v>15513.96</v>
      </c>
      <c r="B356">
        <v>2409</v>
      </c>
      <c r="C356" s="11">
        <v>3468.9599999999991</v>
      </c>
      <c r="D356" s="11">
        <v>7</v>
      </c>
      <c r="E356" s="11">
        <v>10</v>
      </c>
      <c r="F356" t="s">
        <v>29</v>
      </c>
      <c r="G356">
        <v>9</v>
      </c>
      <c r="I356" t="s">
        <v>29</v>
      </c>
      <c r="J356">
        <v>9</v>
      </c>
      <c r="K356" s="11">
        <v>4653.3599999999997</v>
      </c>
    </row>
    <row r="357" spans="1:11" x14ac:dyDescent="0.3">
      <c r="A357" s="11">
        <v>35585.599999999999</v>
      </c>
      <c r="B357">
        <v>1934</v>
      </c>
      <c r="C357" s="11">
        <v>16245.599999999999</v>
      </c>
      <c r="D357" s="11">
        <v>20</v>
      </c>
      <c r="E357" s="11">
        <v>10</v>
      </c>
      <c r="F357" t="s">
        <v>29</v>
      </c>
      <c r="G357">
        <v>9</v>
      </c>
      <c r="I357" t="s">
        <v>29</v>
      </c>
      <c r="J357">
        <v>9</v>
      </c>
      <c r="K357" s="11">
        <v>115851</v>
      </c>
    </row>
    <row r="358" spans="1:11" x14ac:dyDescent="0.3">
      <c r="A358" s="11">
        <v>55071.199999999997</v>
      </c>
      <c r="B358">
        <v>2993</v>
      </c>
      <c r="C358" s="11">
        <v>25141.199999999997</v>
      </c>
      <c r="D358" s="11">
        <v>20</v>
      </c>
      <c r="E358" s="11">
        <v>10</v>
      </c>
      <c r="F358" t="s">
        <v>29</v>
      </c>
      <c r="G358">
        <v>9</v>
      </c>
      <c r="I358" t="s">
        <v>29</v>
      </c>
      <c r="J358">
        <v>9</v>
      </c>
      <c r="K358" s="11">
        <v>15772.400000000001</v>
      </c>
    </row>
    <row r="359" spans="1:11" x14ac:dyDescent="0.3">
      <c r="A359" s="11">
        <v>588984</v>
      </c>
      <c r="B359">
        <v>2134</v>
      </c>
      <c r="C359" s="11">
        <v>55484</v>
      </c>
      <c r="D359" s="11">
        <v>300</v>
      </c>
      <c r="E359" s="11">
        <v>250</v>
      </c>
      <c r="F359" t="s">
        <v>29</v>
      </c>
      <c r="G359">
        <v>9</v>
      </c>
      <c r="I359" t="s">
        <v>29</v>
      </c>
      <c r="J359">
        <v>9</v>
      </c>
      <c r="K359" s="11">
        <v>1556.8100000000004</v>
      </c>
    </row>
    <row r="360" spans="1:11" x14ac:dyDescent="0.3">
      <c r="A360" s="11">
        <v>87906</v>
      </c>
      <c r="B360">
        <v>322</v>
      </c>
      <c r="C360" s="11">
        <v>7406</v>
      </c>
      <c r="D360" s="11">
        <v>300</v>
      </c>
      <c r="E360" s="11">
        <v>5</v>
      </c>
      <c r="F360" t="s">
        <v>29</v>
      </c>
      <c r="G360">
        <v>9</v>
      </c>
      <c r="I360" t="s">
        <v>29</v>
      </c>
      <c r="J360">
        <v>9</v>
      </c>
      <c r="K360" s="11">
        <v>18074.400000000001</v>
      </c>
    </row>
    <row r="361" spans="1:11" x14ac:dyDescent="0.3">
      <c r="A361" s="11">
        <v>64496.25</v>
      </c>
      <c r="B361">
        <v>567</v>
      </c>
      <c r="C361" s="11">
        <v>-3543.75</v>
      </c>
      <c r="D361" s="11">
        <v>125</v>
      </c>
      <c r="E361" s="11">
        <v>120</v>
      </c>
      <c r="F361" t="s">
        <v>29</v>
      </c>
      <c r="G361">
        <v>9</v>
      </c>
      <c r="I361" t="s">
        <v>29</v>
      </c>
      <c r="J361">
        <v>9</v>
      </c>
      <c r="K361" s="11">
        <v>11577.449999999997</v>
      </c>
    </row>
    <row r="362" spans="1:11" x14ac:dyDescent="0.3">
      <c r="A362" s="11">
        <v>240012.5</v>
      </c>
      <c r="B362">
        <v>2110</v>
      </c>
      <c r="C362" s="11">
        <v>-13187.5</v>
      </c>
      <c r="D362" s="11">
        <v>125</v>
      </c>
      <c r="E362" s="11">
        <v>120</v>
      </c>
      <c r="F362" t="s">
        <v>29</v>
      </c>
      <c r="G362">
        <v>9</v>
      </c>
      <c r="I362" t="s">
        <v>29</v>
      </c>
      <c r="J362">
        <v>9</v>
      </c>
      <c r="K362" s="11">
        <v>13201</v>
      </c>
    </row>
    <row r="363" spans="1:11" x14ac:dyDescent="0.3">
      <c r="A363" s="11">
        <v>509691</v>
      </c>
      <c r="B363">
        <v>1867</v>
      </c>
      <c r="C363" s="11">
        <v>42941</v>
      </c>
      <c r="D363" s="11">
        <v>300</v>
      </c>
      <c r="E363" s="11">
        <v>250</v>
      </c>
      <c r="F363" t="s">
        <v>29</v>
      </c>
      <c r="G363">
        <v>9</v>
      </c>
      <c r="I363" t="s">
        <v>29</v>
      </c>
      <c r="J363">
        <v>9</v>
      </c>
      <c r="K363" s="11">
        <v>32567</v>
      </c>
    </row>
    <row r="364" spans="1:11" x14ac:dyDescent="0.3">
      <c r="A364" s="11">
        <v>24395.279999999999</v>
      </c>
      <c r="B364">
        <v>2234</v>
      </c>
      <c r="C364" s="11">
        <v>17693.28</v>
      </c>
      <c r="D364" s="11">
        <v>12</v>
      </c>
      <c r="E364" s="11">
        <v>250</v>
      </c>
      <c r="F364" t="s">
        <v>29</v>
      </c>
      <c r="G364">
        <v>9</v>
      </c>
      <c r="I364" t="s">
        <v>29</v>
      </c>
      <c r="J364">
        <v>9</v>
      </c>
      <c r="K364" s="11">
        <v>-7826.25</v>
      </c>
    </row>
    <row r="365" spans="1:11" x14ac:dyDescent="0.3">
      <c r="A365" s="11">
        <v>659613.5</v>
      </c>
      <c r="B365">
        <v>2071</v>
      </c>
      <c r="C365" s="11">
        <v>121153.5</v>
      </c>
      <c r="D365" s="11">
        <v>350</v>
      </c>
      <c r="E365" s="11">
        <v>260</v>
      </c>
      <c r="F365" t="s">
        <v>29</v>
      </c>
      <c r="G365">
        <v>9</v>
      </c>
      <c r="I365" t="s">
        <v>29</v>
      </c>
      <c r="J365">
        <v>9</v>
      </c>
      <c r="K365" s="11">
        <v>188378</v>
      </c>
    </row>
    <row r="366" spans="1:11" x14ac:dyDescent="0.3">
      <c r="A366" s="11">
        <v>17253.599999999999</v>
      </c>
      <c r="B366">
        <v>1580</v>
      </c>
      <c r="C366" s="11">
        <v>12513.599999999999</v>
      </c>
      <c r="D366" s="11">
        <v>12</v>
      </c>
      <c r="E366" s="11">
        <v>3</v>
      </c>
      <c r="F366" t="s">
        <v>29</v>
      </c>
      <c r="G366">
        <v>9</v>
      </c>
      <c r="I366" t="s">
        <v>29</v>
      </c>
      <c r="J366">
        <v>9</v>
      </c>
      <c r="K366" s="11">
        <v>-3727.5</v>
      </c>
    </row>
    <row r="367" spans="1:11" x14ac:dyDescent="0.3">
      <c r="A367" s="11">
        <v>14666.4</v>
      </c>
      <c r="B367">
        <v>2328</v>
      </c>
      <c r="C367" s="11">
        <v>3026.3999999999996</v>
      </c>
      <c r="D367" s="11">
        <v>7</v>
      </c>
      <c r="E367" s="11">
        <v>5</v>
      </c>
      <c r="F367" t="s">
        <v>29</v>
      </c>
      <c r="G367">
        <v>9</v>
      </c>
      <c r="I367" t="s">
        <v>29</v>
      </c>
      <c r="J367">
        <v>9</v>
      </c>
      <c r="K367" s="11">
        <v>33358</v>
      </c>
    </row>
    <row r="368" spans="1:11" x14ac:dyDescent="0.3">
      <c r="A368" s="11">
        <v>179550</v>
      </c>
      <c r="B368">
        <v>1596</v>
      </c>
      <c r="C368" s="11">
        <v>-11970</v>
      </c>
      <c r="D368" s="11">
        <v>125</v>
      </c>
      <c r="E368" s="11">
        <v>120</v>
      </c>
      <c r="F368" t="s">
        <v>29</v>
      </c>
      <c r="G368">
        <v>9</v>
      </c>
      <c r="I368" t="s">
        <v>29</v>
      </c>
      <c r="J368">
        <v>9</v>
      </c>
      <c r="K368" s="11">
        <v>3468.9599999999991</v>
      </c>
    </row>
    <row r="369" spans="1:11" x14ac:dyDescent="0.3">
      <c r="A369" s="11">
        <v>116640</v>
      </c>
      <c r="B369">
        <v>432</v>
      </c>
      <c r="C369" s="11">
        <v>8640</v>
      </c>
      <c r="D369" s="11">
        <v>300</v>
      </c>
      <c r="E369" s="11">
        <v>250</v>
      </c>
      <c r="F369" t="s">
        <v>29</v>
      </c>
      <c r="G369">
        <v>9</v>
      </c>
      <c r="I369" t="s">
        <v>29</v>
      </c>
      <c r="J369">
        <v>9</v>
      </c>
      <c r="K369" s="11">
        <v>16245.599999999999</v>
      </c>
    </row>
    <row r="370" spans="1:11" x14ac:dyDescent="0.3">
      <c r="A370" s="11">
        <v>222705</v>
      </c>
      <c r="B370">
        <v>707</v>
      </c>
      <c r="C370" s="11">
        <v>38885</v>
      </c>
      <c r="D370" s="11">
        <v>350</v>
      </c>
      <c r="E370" s="11">
        <v>260</v>
      </c>
      <c r="F370" t="s">
        <v>29</v>
      </c>
      <c r="G370">
        <v>9</v>
      </c>
      <c r="I370" t="s">
        <v>29</v>
      </c>
      <c r="J370">
        <v>9</v>
      </c>
      <c r="K370" s="11">
        <v>25141.199999999997</v>
      </c>
    </row>
    <row r="371" spans="1:11" x14ac:dyDescent="0.3">
      <c r="A371" s="11">
        <v>10733.4</v>
      </c>
      <c r="B371">
        <v>1005</v>
      </c>
      <c r="C371" s="11">
        <v>7718.4</v>
      </c>
      <c r="D371" s="11">
        <v>12</v>
      </c>
      <c r="E371" s="11">
        <v>250</v>
      </c>
      <c r="F371" t="s">
        <v>29</v>
      </c>
      <c r="G371">
        <v>9</v>
      </c>
      <c r="I371" t="s">
        <v>29</v>
      </c>
      <c r="J371">
        <v>9</v>
      </c>
      <c r="K371" s="11">
        <v>55484</v>
      </c>
    </row>
    <row r="372" spans="1:11" x14ac:dyDescent="0.3">
      <c r="A372" s="11">
        <v>49929</v>
      </c>
      <c r="B372">
        <v>2805</v>
      </c>
      <c r="C372" s="11">
        <v>21879</v>
      </c>
      <c r="D372" s="11">
        <v>20</v>
      </c>
      <c r="E372" s="11">
        <v>120</v>
      </c>
      <c r="F372" t="s">
        <v>29</v>
      </c>
      <c r="G372">
        <v>9</v>
      </c>
      <c r="I372" t="s">
        <v>29</v>
      </c>
      <c r="J372">
        <v>9</v>
      </c>
      <c r="K372" s="11">
        <v>7406</v>
      </c>
    </row>
    <row r="373" spans="1:11" x14ac:dyDescent="0.3">
      <c r="A373" s="11">
        <v>8744.25</v>
      </c>
      <c r="B373">
        <v>655</v>
      </c>
      <c r="C373" s="11">
        <v>2194.25</v>
      </c>
      <c r="D373" s="11">
        <v>15</v>
      </c>
      <c r="E373" s="11">
        <v>120</v>
      </c>
      <c r="F373" t="s">
        <v>29</v>
      </c>
      <c r="G373">
        <v>9</v>
      </c>
      <c r="I373" t="s">
        <v>29</v>
      </c>
      <c r="J373">
        <v>9</v>
      </c>
      <c r="K373" s="11">
        <v>-3543.75</v>
      </c>
    </row>
    <row r="374" spans="1:11" x14ac:dyDescent="0.3">
      <c r="A374" s="11">
        <v>105353.75</v>
      </c>
      <c r="B374">
        <v>947</v>
      </c>
      <c r="C374" s="11">
        <v>-8286.25</v>
      </c>
      <c r="D374" s="11">
        <v>125</v>
      </c>
      <c r="E374" s="11">
        <v>260</v>
      </c>
      <c r="F374" t="s">
        <v>29</v>
      </c>
      <c r="G374">
        <v>9</v>
      </c>
      <c r="I374" t="s">
        <v>29</v>
      </c>
      <c r="J374">
        <v>9</v>
      </c>
      <c r="K374" s="11">
        <v>-13187.5</v>
      </c>
    </row>
    <row r="375" spans="1:11" x14ac:dyDescent="0.3">
      <c r="A375" s="11">
        <v>2367.4</v>
      </c>
      <c r="B375">
        <v>380</v>
      </c>
      <c r="C375" s="11">
        <v>467.40000000000009</v>
      </c>
      <c r="D375" s="11">
        <v>7</v>
      </c>
      <c r="E375" s="11">
        <v>10</v>
      </c>
      <c r="F375" t="s">
        <v>29</v>
      </c>
      <c r="G375">
        <v>9</v>
      </c>
      <c r="I375" t="s">
        <v>29</v>
      </c>
      <c r="J375">
        <v>9</v>
      </c>
      <c r="K375" s="11">
        <v>42941</v>
      </c>
    </row>
    <row r="376" spans="1:11" x14ac:dyDescent="0.3">
      <c r="A376" s="11">
        <v>265760</v>
      </c>
      <c r="B376">
        <v>2416</v>
      </c>
      <c r="C376" s="11">
        <v>-24160</v>
      </c>
      <c r="D376" s="11">
        <v>125</v>
      </c>
      <c r="E376" s="11">
        <v>3</v>
      </c>
      <c r="F376" t="s">
        <v>29</v>
      </c>
      <c r="G376">
        <v>9</v>
      </c>
      <c r="I376" t="s">
        <v>29</v>
      </c>
      <c r="J376">
        <v>9</v>
      </c>
      <c r="K376" s="11">
        <v>17693.28</v>
      </c>
    </row>
    <row r="377" spans="1:11" x14ac:dyDescent="0.3">
      <c r="A377" s="11">
        <v>14907.2</v>
      </c>
      <c r="B377">
        <v>2420</v>
      </c>
      <c r="C377" s="11">
        <v>2807.2000000000007</v>
      </c>
      <c r="D377" s="11">
        <v>7</v>
      </c>
      <c r="E377" s="11">
        <v>5</v>
      </c>
      <c r="F377" t="s">
        <v>29</v>
      </c>
      <c r="G377">
        <v>9</v>
      </c>
      <c r="I377" t="s">
        <v>29</v>
      </c>
      <c r="J377">
        <v>9</v>
      </c>
      <c r="K377" s="11">
        <v>121153.5</v>
      </c>
    </row>
    <row r="378" spans="1:11" x14ac:dyDescent="0.3">
      <c r="A378" s="11">
        <v>191884</v>
      </c>
      <c r="B378">
        <v>623</v>
      </c>
      <c r="C378" s="11">
        <v>29904</v>
      </c>
      <c r="D378" s="11">
        <v>350</v>
      </c>
      <c r="E378" s="11">
        <v>250</v>
      </c>
      <c r="F378" t="s">
        <v>29</v>
      </c>
      <c r="G378">
        <v>9</v>
      </c>
      <c r="I378" t="s">
        <v>29</v>
      </c>
      <c r="J378">
        <v>9</v>
      </c>
      <c r="K378" s="11">
        <v>12513.599999999999</v>
      </c>
    </row>
    <row r="379" spans="1:11" x14ac:dyDescent="0.3">
      <c r="A379" s="11">
        <v>29156.16</v>
      </c>
      <c r="B379">
        <v>2761</v>
      </c>
      <c r="C379" s="11">
        <v>20873.16</v>
      </c>
      <c r="D379" s="11">
        <v>12</v>
      </c>
      <c r="E379" s="11">
        <v>260</v>
      </c>
      <c r="F379" t="s">
        <v>29</v>
      </c>
      <c r="G379">
        <v>9</v>
      </c>
      <c r="I379" t="s">
        <v>29</v>
      </c>
      <c r="J379">
        <v>9</v>
      </c>
      <c r="K379" s="11">
        <v>3026.3999999999996</v>
      </c>
    </row>
    <row r="380" spans="1:11" x14ac:dyDescent="0.3">
      <c r="A380" s="11">
        <v>7690.8</v>
      </c>
      <c r="B380">
        <v>442</v>
      </c>
      <c r="C380" s="11">
        <v>3270.8</v>
      </c>
      <c r="D380" s="11">
        <v>20</v>
      </c>
      <c r="E380" s="11">
        <v>3</v>
      </c>
      <c r="F380" t="s">
        <v>29</v>
      </c>
      <c r="G380">
        <v>9</v>
      </c>
      <c r="I380" t="s">
        <v>29</v>
      </c>
      <c r="J380">
        <v>9</v>
      </c>
      <c r="K380" s="11">
        <v>-11970</v>
      </c>
    </row>
    <row r="381" spans="1:11" x14ac:dyDescent="0.3">
      <c r="A381" s="11">
        <v>8613</v>
      </c>
      <c r="B381">
        <v>660</v>
      </c>
      <c r="C381" s="11">
        <v>2013</v>
      </c>
      <c r="D381" s="11">
        <v>15</v>
      </c>
      <c r="E381" s="11">
        <v>120</v>
      </c>
      <c r="F381" t="s">
        <v>29</v>
      </c>
      <c r="G381">
        <v>9</v>
      </c>
      <c r="I381" t="s">
        <v>29</v>
      </c>
      <c r="J381">
        <v>9</v>
      </c>
      <c r="K381" s="11">
        <v>8640</v>
      </c>
    </row>
    <row r="382" spans="1:11" x14ac:dyDescent="0.3">
      <c r="A382" s="11">
        <v>22794.3</v>
      </c>
      <c r="B382">
        <v>1767</v>
      </c>
      <c r="C382" s="11">
        <v>5124.2999999999993</v>
      </c>
      <c r="D382" s="11">
        <v>15</v>
      </c>
      <c r="E382" s="11">
        <v>10</v>
      </c>
      <c r="F382" t="s">
        <v>29</v>
      </c>
      <c r="G382">
        <v>9</v>
      </c>
      <c r="I382" t="s">
        <v>29</v>
      </c>
      <c r="J382">
        <v>9</v>
      </c>
      <c r="K382" s="11">
        <v>38885</v>
      </c>
    </row>
    <row r="383" spans="1:11" x14ac:dyDescent="0.3">
      <c r="A383" s="11">
        <v>109972.5</v>
      </c>
      <c r="B383">
        <v>1023</v>
      </c>
      <c r="C383" s="11">
        <v>-12787.5</v>
      </c>
      <c r="D383" s="11">
        <v>125</v>
      </c>
      <c r="E383" s="11">
        <v>3</v>
      </c>
      <c r="F383" t="s">
        <v>29</v>
      </c>
      <c r="G383">
        <v>9</v>
      </c>
      <c r="I383" t="s">
        <v>29</v>
      </c>
      <c r="J383">
        <v>9</v>
      </c>
      <c r="K383" s="11">
        <v>7718.4</v>
      </c>
    </row>
    <row r="384" spans="1:11" x14ac:dyDescent="0.3">
      <c r="A384" s="11">
        <v>2335.7600000000002</v>
      </c>
      <c r="B384">
        <v>388</v>
      </c>
      <c r="C384" s="11">
        <v>395.76000000000022</v>
      </c>
      <c r="D384" s="11">
        <v>7</v>
      </c>
      <c r="E384" s="11">
        <v>5</v>
      </c>
      <c r="F384" t="s">
        <v>29</v>
      </c>
      <c r="G384">
        <v>9</v>
      </c>
      <c r="I384" t="s">
        <v>29</v>
      </c>
      <c r="J384">
        <v>9</v>
      </c>
      <c r="K384" s="11">
        <v>21879</v>
      </c>
    </row>
    <row r="385" spans="1:11" x14ac:dyDescent="0.3">
      <c r="A385" s="11">
        <v>31863</v>
      </c>
      <c r="B385">
        <v>2470</v>
      </c>
      <c r="C385" s="11">
        <v>7163</v>
      </c>
      <c r="D385" s="11">
        <v>15</v>
      </c>
      <c r="E385" s="11">
        <v>10</v>
      </c>
      <c r="F385" t="s">
        <v>29</v>
      </c>
      <c r="G385">
        <v>9</v>
      </c>
      <c r="I385" t="s">
        <v>29</v>
      </c>
      <c r="J385">
        <v>9</v>
      </c>
      <c r="K385" s="11">
        <v>2194.25</v>
      </c>
    </row>
    <row r="386" spans="1:11" x14ac:dyDescent="0.3">
      <c r="A386" s="11">
        <v>70443.75</v>
      </c>
      <c r="B386">
        <v>663</v>
      </c>
      <c r="C386" s="11">
        <v>-9116.25</v>
      </c>
      <c r="D386" s="11">
        <v>125</v>
      </c>
      <c r="E386" s="11">
        <v>120</v>
      </c>
      <c r="F386" t="s">
        <v>29</v>
      </c>
      <c r="G386">
        <v>9</v>
      </c>
      <c r="I386" t="s">
        <v>29</v>
      </c>
      <c r="J386">
        <v>9</v>
      </c>
      <c r="K386" s="11">
        <v>-8286.25</v>
      </c>
    </row>
    <row r="387" spans="1:11" x14ac:dyDescent="0.3">
      <c r="A387" s="11">
        <v>43125</v>
      </c>
      <c r="B387">
        <v>345</v>
      </c>
      <c r="C387" s="11">
        <v>1725</v>
      </c>
      <c r="D387" s="11">
        <v>125</v>
      </c>
      <c r="E387" s="11">
        <v>5</v>
      </c>
      <c r="F387" t="s">
        <v>30</v>
      </c>
      <c r="G387">
        <v>10</v>
      </c>
      <c r="I387" t="s">
        <v>29</v>
      </c>
      <c r="J387">
        <v>9</v>
      </c>
      <c r="K387" s="11">
        <v>467.40000000000009</v>
      </c>
    </row>
    <row r="388" spans="1:11" x14ac:dyDescent="0.3">
      <c r="A388" s="11">
        <v>8001</v>
      </c>
      <c r="B388">
        <v>1143</v>
      </c>
      <c r="C388" s="11">
        <v>2286</v>
      </c>
      <c r="D388" s="11">
        <v>7</v>
      </c>
      <c r="E388" s="11">
        <v>10</v>
      </c>
      <c r="F388" t="s">
        <v>30</v>
      </c>
      <c r="G388">
        <v>10</v>
      </c>
      <c r="I388" t="s">
        <v>29</v>
      </c>
      <c r="J388">
        <v>9</v>
      </c>
      <c r="K388" s="11">
        <v>-24160</v>
      </c>
    </row>
    <row r="389" spans="1:11" x14ac:dyDescent="0.3">
      <c r="A389" s="11">
        <v>43125</v>
      </c>
      <c r="B389">
        <v>345</v>
      </c>
      <c r="C389" s="11">
        <v>1725</v>
      </c>
      <c r="D389" s="11">
        <v>125</v>
      </c>
      <c r="E389" s="11">
        <v>120</v>
      </c>
      <c r="F389" t="s">
        <v>30</v>
      </c>
      <c r="G389">
        <v>10</v>
      </c>
      <c r="I389" t="s">
        <v>29</v>
      </c>
      <c r="J389">
        <v>9</v>
      </c>
      <c r="K389" s="11">
        <v>2807.2000000000007</v>
      </c>
    </row>
    <row r="390" spans="1:11" x14ac:dyDescent="0.3">
      <c r="A390" s="11">
        <v>8001</v>
      </c>
      <c r="B390">
        <v>1143</v>
      </c>
      <c r="C390" s="11">
        <v>2286</v>
      </c>
      <c r="D390" s="11">
        <v>7</v>
      </c>
      <c r="E390" s="11">
        <v>260</v>
      </c>
      <c r="F390" t="s">
        <v>30</v>
      </c>
      <c r="G390">
        <v>10</v>
      </c>
      <c r="I390" t="s">
        <v>29</v>
      </c>
      <c r="J390">
        <v>9</v>
      </c>
      <c r="K390" s="11">
        <v>29904</v>
      </c>
    </row>
    <row r="391" spans="1:11" x14ac:dyDescent="0.3">
      <c r="A391" s="11">
        <v>9100.08</v>
      </c>
      <c r="B391">
        <v>766</v>
      </c>
      <c r="C391" s="11">
        <v>6802.08</v>
      </c>
      <c r="D391" s="11">
        <v>12</v>
      </c>
      <c r="E391" s="11">
        <v>3</v>
      </c>
      <c r="F391" t="s">
        <v>30</v>
      </c>
      <c r="G391">
        <v>10</v>
      </c>
      <c r="I391" t="s">
        <v>29</v>
      </c>
      <c r="J391">
        <v>9</v>
      </c>
      <c r="K391" s="11">
        <v>20873.16</v>
      </c>
    </row>
    <row r="392" spans="1:11" x14ac:dyDescent="0.3">
      <c r="A392" s="11">
        <v>146718</v>
      </c>
      <c r="B392">
        <v>494</v>
      </c>
      <c r="C392" s="11">
        <v>23218</v>
      </c>
      <c r="D392" s="11">
        <v>300</v>
      </c>
      <c r="E392" s="11">
        <v>3</v>
      </c>
      <c r="F392" t="s">
        <v>30</v>
      </c>
      <c r="G392">
        <v>10</v>
      </c>
      <c r="I392" t="s">
        <v>29</v>
      </c>
      <c r="J392">
        <v>9</v>
      </c>
      <c r="K392" s="11">
        <v>3270.8</v>
      </c>
    </row>
    <row r="393" spans="1:11" x14ac:dyDescent="0.3">
      <c r="A393" s="11">
        <v>484060.5</v>
      </c>
      <c r="B393">
        <v>1397</v>
      </c>
      <c r="C393" s="11">
        <v>120840.5</v>
      </c>
      <c r="D393" s="11">
        <v>350</v>
      </c>
      <c r="E393" s="11">
        <v>3</v>
      </c>
      <c r="F393" t="s">
        <v>30</v>
      </c>
      <c r="G393">
        <v>10</v>
      </c>
      <c r="I393" t="s">
        <v>29</v>
      </c>
      <c r="J393">
        <v>9</v>
      </c>
      <c r="K393" s="11">
        <v>2013</v>
      </c>
    </row>
    <row r="394" spans="1:11" x14ac:dyDescent="0.3">
      <c r="A394" s="11">
        <v>82046.25</v>
      </c>
      <c r="B394">
        <v>663</v>
      </c>
      <c r="C394" s="11">
        <v>2486.25</v>
      </c>
      <c r="D394" s="11">
        <v>125</v>
      </c>
      <c r="E394" s="11">
        <v>5</v>
      </c>
      <c r="F394" t="s">
        <v>30</v>
      </c>
      <c r="G394">
        <v>10</v>
      </c>
      <c r="I394" t="s">
        <v>29</v>
      </c>
      <c r="J394">
        <v>9</v>
      </c>
      <c r="K394" s="11">
        <v>5124.2999999999993</v>
      </c>
    </row>
    <row r="395" spans="1:11" x14ac:dyDescent="0.3">
      <c r="A395" s="11">
        <v>9100.08</v>
      </c>
      <c r="B395">
        <v>766</v>
      </c>
      <c r="C395" s="11">
        <v>6802.08</v>
      </c>
      <c r="D395" s="11">
        <v>12</v>
      </c>
      <c r="E395" s="11">
        <v>10</v>
      </c>
      <c r="F395" t="s">
        <v>30</v>
      </c>
      <c r="G395">
        <v>10</v>
      </c>
      <c r="I395" t="s">
        <v>29</v>
      </c>
      <c r="J395">
        <v>9</v>
      </c>
      <c r="K395" s="11">
        <v>-12787.5</v>
      </c>
    </row>
    <row r="396" spans="1:11" x14ac:dyDescent="0.3">
      <c r="A396" s="11">
        <v>82046.25</v>
      </c>
      <c r="B396">
        <v>663</v>
      </c>
      <c r="C396" s="11">
        <v>2486.25</v>
      </c>
      <c r="D396" s="11">
        <v>125</v>
      </c>
      <c r="E396" s="11">
        <v>120</v>
      </c>
      <c r="F396" t="s">
        <v>30</v>
      </c>
      <c r="G396">
        <v>10</v>
      </c>
      <c r="I396" t="s">
        <v>29</v>
      </c>
      <c r="J396">
        <v>9</v>
      </c>
      <c r="K396" s="11">
        <v>395.76000000000022</v>
      </c>
    </row>
    <row r="397" spans="1:11" x14ac:dyDescent="0.3">
      <c r="A397" s="11">
        <v>146718</v>
      </c>
      <c r="B397">
        <v>494</v>
      </c>
      <c r="C397" s="11">
        <v>23218</v>
      </c>
      <c r="D397" s="11">
        <v>300</v>
      </c>
      <c r="E397" s="11">
        <v>250</v>
      </c>
      <c r="F397" t="s">
        <v>30</v>
      </c>
      <c r="G397">
        <v>10</v>
      </c>
      <c r="I397" t="s">
        <v>29</v>
      </c>
      <c r="J397">
        <v>9</v>
      </c>
      <c r="K397" s="11">
        <v>7163</v>
      </c>
    </row>
    <row r="398" spans="1:11" x14ac:dyDescent="0.3">
      <c r="A398" s="11">
        <v>484060.5</v>
      </c>
      <c r="B398">
        <v>1397</v>
      </c>
      <c r="C398" s="11">
        <v>120840.5</v>
      </c>
      <c r="D398" s="11">
        <v>350</v>
      </c>
      <c r="E398" s="11">
        <v>250</v>
      </c>
      <c r="F398" t="s">
        <v>30</v>
      </c>
      <c r="G398">
        <v>10</v>
      </c>
      <c r="I398" t="s">
        <v>29</v>
      </c>
      <c r="J398">
        <v>9</v>
      </c>
      <c r="K398" s="11">
        <v>-9116.25</v>
      </c>
    </row>
    <row r="399" spans="1:11" x14ac:dyDescent="0.3">
      <c r="A399" s="11">
        <v>15229.2</v>
      </c>
      <c r="B399">
        <v>1295</v>
      </c>
      <c r="C399" s="11">
        <v>11344.2</v>
      </c>
      <c r="D399" s="11">
        <v>12</v>
      </c>
      <c r="E399" s="11">
        <v>3</v>
      </c>
      <c r="F399" t="s">
        <v>30</v>
      </c>
      <c r="G399">
        <v>10</v>
      </c>
      <c r="I399" t="s">
        <v>30</v>
      </c>
      <c r="J399">
        <v>10</v>
      </c>
      <c r="K399" s="11">
        <v>1725</v>
      </c>
    </row>
    <row r="400" spans="1:11" x14ac:dyDescent="0.3">
      <c r="A400" s="11">
        <v>62916</v>
      </c>
      <c r="B400">
        <v>214</v>
      </c>
      <c r="C400" s="11">
        <v>9416</v>
      </c>
      <c r="D400" s="11">
        <v>300</v>
      </c>
      <c r="E400" s="11">
        <v>3</v>
      </c>
      <c r="F400" t="s">
        <v>30</v>
      </c>
      <c r="G400">
        <v>10</v>
      </c>
      <c r="I400" t="s">
        <v>30</v>
      </c>
      <c r="J400">
        <v>10</v>
      </c>
      <c r="K400" s="11">
        <v>2286</v>
      </c>
    </row>
    <row r="401" spans="1:11" x14ac:dyDescent="0.3">
      <c r="A401" s="11">
        <v>30693.599999999999</v>
      </c>
      <c r="B401">
        <v>1566</v>
      </c>
      <c r="C401" s="11">
        <v>15033.599999999999</v>
      </c>
      <c r="D401" s="11">
        <v>20</v>
      </c>
      <c r="E401" s="11">
        <v>5</v>
      </c>
      <c r="F401" t="s">
        <v>30</v>
      </c>
      <c r="G401">
        <v>10</v>
      </c>
      <c r="I401" t="s">
        <v>30</v>
      </c>
      <c r="J401">
        <v>10</v>
      </c>
      <c r="K401" s="11">
        <v>1725</v>
      </c>
    </row>
    <row r="402" spans="1:11" x14ac:dyDescent="0.3">
      <c r="A402" s="11">
        <v>15229.2</v>
      </c>
      <c r="B402">
        <v>1295</v>
      </c>
      <c r="C402" s="11">
        <v>11344.2</v>
      </c>
      <c r="D402" s="11">
        <v>12</v>
      </c>
      <c r="E402" s="11">
        <v>10</v>
      </c>
      <c r="F402" t="s">
        <v>30</v>
      </c>
      <c r="G402">
        <v>10</v>
      </c>
      <c r="I402" t="s">
        <v>30</v>
      </c>
      <c r="J402">
        <v>10</v>
      </c>
      <c r="K402" s="11">
        <v>2286</v>
      </c>
    </row>
    <row r="403" spans="1:11" x14ac:dyDescent="0.3">
      <c r="A403" s="11">
        <v>99102.5</v>
      </c>
      <c r="B403">
        <v>809</v>
      </c>
      <c r="C403" s="11">
        <v>2022.5</v>
      </c>
      <c r="D403" s="11">
        <v>125</v>
      </c>
      <c r="E403" s="11">
        <v>10</v>
      </c>
      <c r="F403" t="s">
        <v>30</v>
      </c>
      <c r="G403">
        <v>10</v>
      </c>
      <c r="I403" t="s">
        <v>30</v>
      </c>
      <c r="J403">
        <v>10</v>
      </c>
      <c r="K403" s="11">
        <v>6802.08</v>
      </c>
    </row>
    <row r="404" spans="1:11" x14ac:dyDescent="0.3">
      <c r="A404" s="11">
        <v>262762.5</v>
      </c>
      <c r="B404">
        <v>2145</v>
      </c>
      <c r="C404" s="11">
        <v>5362.5</v>
      </c>
      <c r="D404" s="11">
        <v>125</v>
      </c>
      <c r="E404" s="11">
        <v>10</v>
      </c>
      <c r="F404" t="s">
        <v>30</v>
      </c>
      <c r="G404">
        <v>10</v>
      </c>
      <c r="I404" t="s">
        <v>30</v>
      </c>
      <c r="J404">
        <v>10</v>
      </c>
      <c r="K404" s="11">
        <v>23218</v>
      </c>
    </row>
    <row r="405" spans="1:11" x14ac:dyDescent="0.3">
      <c r="A405" s="11">
        <v>30693.599999999999</v>
      </c>
      <c r="B405">
        <v>1566</v>
      </c>
      <c r="C405" s="11">
        <v>15033.599999999999</v>
      </c>
      <c r="D405" s="11">
        <v>20</v>
      </c>
      <c r="E405" s="11">
        <v>120</v>
      </c>
      <c r="F405" t="s">
        <v>30</v>
      </c>
      <c r="G405">
        <v>10</v>
      </c>
      <c r="I405" t="s">
        <v>30</v>
      </c>
      <c r="J405">
        <v>10</v>
      </c>
      <c r="K405" s="11">
        <v>120840.5</v>
      </c>
    </row>
    <row r="406" spans="1:11" x14ac:dyDescent="0.3">
      <c r="A406" s="11">
        <v>1017338</v>
      </c>
      <c r="B406">
        <v>2966</v>
      </c>
      <c r="C406" s="11">
        <v>246178</v>
      </c>
      <c r="D406" s="11">
        <v>350</v>
      </c>
      <c r="E406" s="11">
        <v>120</v>
      </c>
      <c r="F406" t="s">
        <v>30</v>
      </c>
      <c r="G406">
        <v>10</v>
      </c>
      <c r="I406" t="s">
        <v>30</v>
      </c>
      <c r="J406">
        <v>10</v>
      </c>
      <c r="K406" s="11">
        <v>2486.25</v>
      </c>
    </row>
    <row r="407" spans="1:11" x14ac:dyDescent="0.3">
      <c r="A407" s="11">
        <v>986811</v>
      </c>
      <c r="B407">
        <v>2877</v>
      </c>
      <c r="C407" s="11">
        <v>238791</v>
      </c>
      <c r="D407" s="11">
        <v>350</v>
      </c>
      <c r="E407" s="11">
        <v>120</v>
      </c>
      <c r="F407" t="s">
        <v>30</v>
      </c>
      <c r="G407">
        <v>10</v>
      </c>
      <c r="I407" t="s">
        <v>30</v>
      </c>
      <c r="J407">
        <v>10</v>
      </c>
      <c r="K407" s="11">
        <v>6802.08</v>
      </c>
    </row>
    <row r="408" spans="1:11" x14ac:dyDescent="0.3">
      <c r="A408" s="11">
        <v>99102.5</v>
      </c>
      <c r="B408">
        <v>809</v>
      </c>
      <c r="C408" s="11">
        <v>2022.5</v>
      </c>
      <c r="D408" s="11">
        <v>125</v>
      </c>
      <c r="E408" s="11">
        <v>120</v>
      </c>
      <c r="F408" t="s">
        <v>30</v>
      </c>
      <c r="G408">
        <v>10</v>
      </c>
      <c r="I408" t="s">
        <v>30</v>
      </c>
      <c r="J408">
        <v>10</v>
      </c>
      <c r="K408" s="11">
        <v>2486.25</v>
      </c>
    </row>
    <row r="409" spans="1:11" x14ac:dyDescent="0.3">
      <c r="A409" s="11">
        <v>262762.5</v>
      </c>
      <c r="B409">
        <v>2145</v>
      </c>
      <c r="C409" s="11">
        <v>5362.5</v>
      </c>
      <c r="D409" s="11">
        <v>125</v>
      </c>
      <c r="E409" s="11">
        <v>120</v>
      </c>
      <c r="F409" t="s">
        <v>30</v>
      </c>
      <c r="G409">
        <v>10</v>
      </c>
      <c r="I409" t="s">
        <v>30</v>
      </c>
      <c r="J409">
        <v>10</v>
      </c>
      <c r="K409" s="11">
        <v>23218</v>
      </c>
    </row>
    <row r="410" spans="1:11" x14ac:dyDescent="0.3">
      <c r="A410" s="11">
        <v>62916</v>
      </c>
      <c r="B410">
        <v>214</v>
      </c>
      <c r="C410" s="11">
        <v>9416</v>
      </c>
      <c r="D410" s="11">
        <v>300</v>
      </c>
      <c r="E410" s="11">
        <v>250</v>
      </c>
      <c r="F410" t="s">
        <v>30</v>
      </c>
      <c r="G410">
        <v>10</v>
      </c>
      <c r="I410" t="s">
        <v>30</v>
      </c>
      <c r="J410">
        <v>10</v>
      </c>
      <c r="K410" s="11">
        <v>120840.5</v>
      </c>
    </row>
    <row r="411" spans="1:11" x14ac:dyDescent="0.3">
      <c r="A411" s="11">
        <v>986811</v>
      </c>
      <c r="B411">
        <v>2877</v>
      </c>
      <c r="C411" s="11">
        <v>238791</v>
      </c>
      <c r="D411" s="11">
        <v>350</v>
      </c>
      <c r="E411" s="11">
        <v>250</v>
      </c>
      <c r="F411" t="s">
        <v>30</v>
      </c>
      <c r="G411">
        <v>10</v>
      </c>
      <c r="I411" t="s">
        <v>30</v>
      </c>
      <c r="J411">
        <v>10</v>
      </c>
      <c r="K411" s="11">
        <v>11344.2</v>
      </c>
    </row>
    <row r="412" spans="1:11" x14ac:dyDescent="0.3">
      <c r="A412" s="11">
        <v>1017338</v>
      </c>
      <c r="B412">
        <v>2966</v>
      </c>
      <c r="C412" s="11">
        <v>246178</v>
      </c>
      <c r="D412" s="11">
        <v>350</v>
      </c>
      <c r="E412" s="11">
        <v>260</v>
      </c>
      <c r="F412" t="s">
        <v>30</v>
      </c>
      <c r="G412">
        <v>10</v>
      </c>
      <c r="I412" t="s">
        <v>30</v>
      </c>
      <c r="J412">
        <v>10</v>
      </c>
      <c r="K412" s="11">
        <v>9416</v>
      </c>
    </row>
    <row r="413" spans="1:11" x14ac:dyDescent="0.3">
      <c r="A413" s="11">
        <v>243591.25</v>
      </c>
      <c r="B413">
        <v>2009</v>
      </c>
      <c r="C413" s="11">
        <v>2511.25</v>
      </c>
      <c r="D413" s="11">
        <v>125</v>
      </c>
      <c r="E413" s="11">
        <v>10</v>
      </c>
      <c r="F413" t="s">
        <v>30</v>
      </c>
      <c r="G413">
        <v>10</v>
      </c>
      <c r="I413" t="s">
        <v>30</v>
      </c>
      <c r="J413">
        <v>10</v>
      </c>
      <c r="K413" s="11">
        <v>15033.599999999999</v>
      </c>
    </row>
    <row r="414" spans="1:11" x14ac:dyDescent="0.3">
      <c r="A414" s="11">
        <v>28299.75</v>
      </c>
      <c r="B414">
        <v>1945</v>
      </c>
      <c r="C414" s="11">
        <v>8849.75</v>
      </c>
      <c r="D414" s="11">
        <v>15</v>
      </c>
      <c r="E414" s="11">
        <v>10</v>
      </c>
      <c r="F414" t="s">
        <v>30</v>
      </c>
      <c r="G414">
        <v>10</v>
      </c>
      <c r="I414" t="s">
        <v>30</v>
      </c>
      <c r="J414">
        <v>10</v>
      </c>
      <c r="K414" s="11">
        <v>11344.2</v>
      </c>
    </row>
    <row r="415" spans="1:11" x14ac:dyDescent="0.3">
      <c r="A415" s="11">
        <v>243591.25</v>
      </c>
      <c r="B415">
        <v>2009</v>
      </c>
      <c r="C415" s="11">
        <v>2511.25</v>
      </c>
      <c r="D415" s="11">
        <v>125</v>
      </c>
      <c r="E415" s="11">
        <v>120</v>
      </c>
      <c r="F415" t="s">
        <v>30</v>
      </c>
      <c r="G415">
        <v>10</v>
      </c>
      <c r="I415" t="s">
        <v>30</v>
      </c>
      <c r="J415">
        <v>10</v>
      </c>
      <c r="K415" s="11">
        <v>2022.5</v>
      </c>
    </row>
    <row r="416" spans="1:11" x14ac:dyDescent="0.3">
      <c r="A416" s="11">
        <v>28299.75</v>
      </c>
      <c r="B416">
        <v>1945</v>
      </c>
      <c r="C416" s="11">
        <v>8849.75</v>
      </c>
      <c r="D416" s="11">
        <v>15</v>
      </c>
      <c r="E416" s="11">
        <v>250</v>
      </c>
      <c r="F416" t="s">
        <v>30</v>
      </c>
      <c r="G416">
        <v>10</v>
      </c>
      <c r="I416" t="s">
        <v>30</v>
      </c>
      <c r="J416">
        <v>10</v>
      </c>
      <c r="K416" s="11">
        <v>5362.5</v>
      </c>
    </row>
    <row r="417" spans="1:11" x14ac:dyDescent="0.3">
      <c r="A417" s="11">
        <v>29246.400000000001</v>
      </c>
      <c r="B417">
        <v>2031</v>
      </c>
      <c r="C417" s="11">
        <v>8936.4000000000015</v>
      </c>
      <c r="D417" s="11">
        <v>15</v>
      </c>
      <c r="E417" s="11">
        <v>5</v>
      </c>
      <c r="F417" t="s">
        <v>30</v>
      </c>
      <c r="G417">
        <v>10</v>
      </c>
      <c r="I417" t="s">
        <v>30</v>
      </c>
      <c r="J417">
        <v>10</v>
      </c>
      <c r="K417" s="11">
        <v>15033.599999999999</v>
      </c>
    </row>
    <row r="418" spans="1:11" x14ac:dyDescent="0.3">
      <c r="A418" s="11">
        <v>29246.400000000001</v>
      </c>
      <c r="B418">
        <v>2031</v>
      </c>
      <c r="C418" s="11">
        <v>8936.4000000000015</v>
      </c>
      <c r="D418" s="11">
        <v>15</v>
      </c>
      <c r="E418" s="11">
        <v>10</v>
      </c>
      <c r="F418" t="s">
        <v>30</v>
      </c>
      <c r="G418">
        <v>10</v>
      </c>
      <c r="I418" t="s">
        <v>30</v>
      </c>
      <c r="J418">
        <v>10</v>
      </c>
      <c r="K418" s="11">
        <v>246178</v>
      </c>
    </row>
    <row r="419" spans="1:11" x14ac:dyDescent="0.3">
      <c r="A419" s="11">
        <v>19158.72</v>
      </c>
      <c r="B419">
        <v>2851</v>
      </c>
      <c r="C419" s="11">
        <v>4903.7200000000012</v>
      </c>
      <c r="D419" s="11">
        <v>7</v>
      </c>
      <c r="E419" s="11">
        <v>3</v>
      </c>
      <c r="F419" t="s">
        <v>30</v>
      </c>
      <c r="G419">
        <v>10</v>
      </c>
      <c r="I419" t="s">
        <v>30</v>
      </c>
      <c r="J419">
        <v>10</v>
      </c>
      <c r="K419" s="11">
        <v>238791</v>
      </c>
    </row>
    <row r="420" spans="1:11" x14ac:dyDescent="0.3">
      <c r="A420" s="11">
        <v>582048</v>
      </c>
      <c r="B420">
        <v>2021</v>
      </c>
      <c r="C420" s="11">
        <v>76798</v>
      </c>
      <c r="D420" s="11">
        <v>300</v>
      </c>
      <c r="E420" s="11">
        <v>3</v>
      </c>
      <c r="F420" t="s">
        <v>30</v>
      </c>
      <c r="G420">
        <v>10</v>
      </c>
      <c r="I420" t="s">
        <v>30</v>
      </c>
      <c r="J420">
        <v>10</v>
      </c>
      <c r="K420" s="11">
        <v>2022.5</v>
      </c>
    </row>
    <row r="421" spans="1:11" x14ac:dyDescent="0.3">
      <c r="A421" s="11">
        <v>19158.72</v>
      </c>
      <c r="B421">
        <v>2851</v>
      </c>
      <c r="C421" s="11">
        <v>4903.7200000000012</v>
      </c>
      <c r="D421" s="11">
        <v>7</v>
      </c>
      <c r="E421" s="11">
        <v>5</v>
      </c>
      <c r="F421" t="s">
        <v>30</v>
      </c>
      <c r="G421">
        <v>10</v>
      </c>
      <c r="I421" t="s">
        <v>30</v>
      </c>
      <c r="J421">
        <v>10</v>
      </c>
      <c r="K421" s="11">
        <v>5362.5</v>
      </c>
    </row>
    <row r="422" spans="1:11" x14ac:dyDescent="0.3">
      <c r="A422" s="11">
        <v>582048</v>
      </c>
      <c r="B422">
        <v>2021</v>
      </c>
      <c r="C422" s="11">
        <v>76798</v>
      </c>
      <c r="D422" s="11">
        <v>300</v>
      </c>
      <c r="E422" s="11">
        <v>5</v>
      </c>
      <c r="F422" t="s">
        <v>30</v>
      </c>
      <c r="G422">
        <v>10</v>
      </c>
      <c r="I422" t="s">
        <v>30</v>
      </c>
      <c r="J422">
        <v>10</v>
      </c>
      <c r="K422" s="11">
        <v>9416</v>
      </c>
    </row>
    <row r="423" spans="1:11" x14ac:dyDescent="0.3">
      <c r="A423" s="11">
        <v>9662.4</v>
      </c>
      <c r="B423">
        <v>671</v>
      </c>
      <c r="C423" s="11">
        <v>2952.3999999999996</v>
      </c>
      <c r="D423" s="11">
        <v>15</v>
      </c>
      <c r="E423" s="11">
        <v>10</v>
      </c>
      <c r="F423" t="s">
        <v>30</v>
      </c>
      <c r="G423">
        <v>10</v>
      </c>
      <c r="I423" t="s">
        <v>30</v>
      </c>
      <c r="J423">
        <v>10</v>
      </c>
      <c r="K423" s="11">
        <v>238791</v>
      </c>
    </row>
    <row r="424" spans="1:11" x14ac:dyDescent="0.3">
      <c r="A424" s="11">
        <v>21801.599999999999</v>
      </c>
      <c r="B424">
        <v>1514</v>
      </c>
      <c r="C424" s="11">
        <v>6661.5999999999985</v>
      </c>
      <c r="D424" s="11">
        <v>15</v>
      </c>
      <c r="E424" s="11">
        <v>10</v>
      </c>
      <c r="F424" t="s">
        <v>30</v>
      </c>
      <c r="G424">
        <v>10</v>
      </c>
      <c r="I424" t="s">
        <v>30</v>
      </c>
      <c r="J424">
        <v>10</v>
      </c>
      <c r="K424" s="11">
        <v>246178</v>
      </c>
    </row>
    <row r="425" spans="1:11" x14ac:dyDescent="0.3">
      <c r="A425" s="11">
        <v>731472</v>
      </c>
      <c r="B425">
        <v>2177</v>
      </c>
      <c r="C425" s="11">
        <v>165452</v>
      </c>
      <c r="D425" s="11">
        <v>350</v>
      </c>
      <c r="E425" s="11">
        <v>120</v>
      </c>
      <c r="F425" t="s">
        <v>30</v>
      </c>
      <c r="G425">
        <v>10</v>
      </c>
      <c r="I425" t="s">
        <v>30</v>
      </c>
      <c r="J425">
        <v>10</v>
      </c>
      <c r="K425" s="11">
        <v>2511.25</v>
      </c>
    </row>
    <row r="426" spans="1:11" x14ac:dyDescent="0.3">
      <c r="A426" s="11">
        <v>731472</v>
      </c>
      <c r="B426">
        <v>2177</v>
      </c>
      <c r="C426" s="11">
        <v>165452</v>
      </c>
      <c r="D426" s="11">
        <v>350</v>
      </c>
      <c r="E426" s="11">
        <v>250</v>
      </c>
      <c r="F426" t="s">
        <v>30</v>
      </c>
      <c r="G426">
        <v>10</v>
      </c>
      <c r="I426" t="s">
        <v>30</v>
      </c>
      <c r="J426">
        <v>10</v>
      </c>
      <c r="K426" s="11">
        <v>8849.75</v>
      </c>
    </row>
    <row r="427" spans="1:11" x14ac:dyDescent="0.3">
      <c r="A427" s="11">
        <v>21801.599999999999</v>
      </c>
      <c r="B427">
        <v>1514</v>
      </c>
      <c r="C427" s="11">
        <v>6661.5999999999985</v>
      </c>
      <c r="D427" s="11">
        <v>15</v>
      </c>
      <c r="E427" s="11">
        <v>250</v>
      </c>
      <c r="F427" t="s">
        <v>30</v>
      </c>
      <c r="G427">
        <v>10</v>
      </c>
      <c r="I427" t="s">
        <v>30</v>
      </c>
      <c r="J427">
        <v>10</v>
      </c>
      <c r="K427" s="11">
        <v>2511.25</v>
      </c>
    </row>
    <row r="428" spans="1:11" x14ac:dyDescent="0.3">
      <c r="A428" s="11">
        <v>9662.4</v>
      </c>
      <c r="B428">
        <v>671</v>
      </c>
      <c r="C428" s="11">
        <v>2952.3999999999996</v>
      </c>
      <c r="D428" s="11">
        <v>15</v>
      </c>
      <c r="E428" s="11">
        <v>260</v>
      </c>
      <c r="F428" t="s">
        <v>30</v>
      </c>
      <c r="G428">
        <v>10</v>
      </c>
      <c r="I428" t="s">
        <v>30</v>
      </c>
      <c r="J428">
        <v>10</v>
      </c>
      <c r="K428" s="11">
        <v>8849.75</v>
      </c>
    </row>
    <row r="429" spans="1:11" x14ac:dyDescent="0.3">
      <c r="A429" s="11">
        <v>7707.35</v>
      </c>
      <c r="B429">
        <v>1159</v>
      </c>
      <c r="C429" s="11">
        <v>1912.3500000000004</v>
      </c>
      <c r="D429" s="11">
        <v>7</v>
      </c>
      <c r="E429" s="11">
        <v>5</v>
      </c>
      <c r="F429" t="s">
        <v>30</v>
      </c>
      <c r="G429">
        <v>10</v>
      </c>
      <c r="I429" t="s">
        <v>30</v>
      </c>
      <c r="J429">
        <v>10</v>
      </c>
      <c r="K429" s="11">
        <v>8936.4000000000015</v>
      </c>
    </row>
    <row r="430" spans="1:11" x14ac:dyDescent="0.3">
      <c r="A430" s="11">
        <v>17881.849999999999</v>
      </c>
      <c r="B430">
        <v>2689</v>
      </c>
      <c r="C430" s="11">
        <v>4436.8499999999985</v>
      </c>
      <c r="D430" s="11">
        <v>7</v>
      </c>
      <c r="E430" s="11">
        <v>10</v>
      </c>
      <c r="F430" t="s">
        <v>30</v>
      </c>
      <c r="G430">
        <v>10</v>
      </c>
      <c r="I430" t="s">
        <v>30</v>
      </c>
      <c r="J430">
        <v>10</v>
      </c>
      <c r="K430" s="11">
        <v>8936.4000000000015</v>
      </c>
    </row>
    <row r="431" spans="1:11" x14ac:dyDescent="0.3">
      <c r="A431" s="11">
        <v>17881.849999999999</v>
      </c>
      <c r="B431">
        <v>2689</v>
      </c>
      <c r="C431" s="11">
        <v>4436.8499999999985</v>
      </c>
      <c r="D431" s="11">
        <v>7</v>
      </c>
      <c r="E431" s="11">
        <v>250</v>
      </c>
      <c r="F431" t="s">
        <v>30</v>
      </c>
      <c r="G431">
        <v>10</v>
      </c>
      <c r="I431" t="s">
        <v>30</v>
      </c>
      <c r="J431">
        <v>10</v>
      </c>
      <c r="K431" s="11">
        <v>4903.7200000000012</v>
      </c>
    </row>
    <row r="432" spans="1:11" x14ac:dyDescent="0.3">
      <c r="A432" s="11">
        <v>7707.35</v>
      </c>
      <c r="B432">
        <v>1159</v>
      </c>
      <c r="C432" s="11">
        <v>1912.3500000000004</v>
      </c>
      <c r="D432" s="11">
        <v>7</v>
      </c>
      <c r="E432" s="11">
        <v>260</v>
      </c>
      <c r="F432" t="s">
        <v>30</v>
      </c>
      <c r="G432">
        <v>10</v>
      </c>
      <c r="I432" t="s">
        <v>30</v>
      </c>
      <c r="J432">
        <v>10</v>
      </c>
      <c r="K432" s="11">
        <v>76798</v>
      </c>
    </row>
    <row r="433" spans="1:11" x14ac:dyDescent="0.3">
      <c r="A433" s="11">
        <v>408310</v>
      </c>
      <c r="B433">
        <v>1228</v>
      </c>
      <c r="C433" s="11">
        <v>89030</v>
      </c>
      <c r="D433" s="11">
        <v>350</v>
      </c>
      <c r="E433" s="11">
        <v>10</v>
      </c>
      <c r="F433" t="s">
        <v>30</v>
      </c>
      <c r="G433">
        <v>10</v>
      </c>
      <c r="I433" t="s">
        <v>30</v>
      </c>
      <c r="J433">
        <v>10</v>
      </c>
      <c r="K433" s="11">
        <v>4903.7200000000012</v>
      </c>
    </row>
    <row r="434" spans="1:11" x14ac:dyDescent="0.3">
      <c r="A434" s="11">
        <v>26391</v>
      </c>
      <c r="B434">
        <v>1389</v>
      </c>
      <c r="C434" s="11">
        <v>12501</v>
      </c>
      <c r="D434" s="11">
        <v>20</v>
      </c>
      <c r="E434" s="11">
        <v>10</v>
      </c>
      <c r="F434" t="s">
        <v>30</v>
      </c>
      <c r="G434">
        <v>10</v>
      </c>
      <c r="I434" t="s">
        <v>30</v>
      </c>
      <c r="J434">
        <v>10</v>
      </c>
      <c r="K434" s="11">
        <v>76798</v>
      </c>
    </row>
    <row r="435" spans="1:11" x14ac:dyDescent="0.3">
      <c r="A435" s="11">
        <v>102243.75</v>
      </c>
      <c r="B435">
        <v>861</v>
      </c>
      <c r="C435" s="11">
        <v>-1076.25</v>
      </c>
      <c r="D435" s="11">
        <v>125</v>
      </c>
      <c r="E435" s="11">
        <v>10</v>
      </c>
      <c r="F435" t="s">
        <v>30</v>
      </c>
      <c r="G435">
        <v>10</v>
      </c>
      <c r="I435" t="s">
        <v>30</v>
      </c>
      <c r="J435">
        <v>10</v>
      </c>
      <c r="K435" s="11">
        <v>2952.3999999999996</v>
      </c>
    </row>
    <row r="436" spans="1:11" x14ac:dyDescent="0.3">
      <c r="A436" s="11">
        <v>83600</v>
      </c>
      <c r="B436">
        <v>704</v>
      </c>
      <c r="C436" s="11">
        <v>-880</v>
      </c>
      <c r="D436" s="11">
        <v>125</v>
      </c>
      <c r="E436" s="11">
        <v>10</v>
      </c>
      <c r="F436" t="s">
        <v>30</v>
      </c>
      <c r="G436">
        <v>10</v>
      </c>
      <c r="I436" t="s">
        <v>30</v>
      </c>
      <c r="J436">
        <v>10</v>
      </c>
      <c r="K436" s="11">
        <v>6661.5999999999985</v>
      </c>
    </row>
    <row r="437" spans="1:11" x14ac:dyDescent="0.3">
      <c r="A437" s="11">
        <v>102243.75</v>
      </c>
      <c r="B437">
        <v>861</v>
      </c>
      <c r="C437" s="11">
        <v>-1076.25</v>
      </c>
      <c r="D437" s="11">
        <v>125</v>
      </c>
      <c r="E437" s="11">
        <v>120</v>
      </c>
      <c r="F437" t="s">
        <v>30</v>
      </c>
      <c r="G437">
        <v>10</v>
      </c>
      <c r="I437" t="s">
        <v>30</v>
      </c>
      <c r="J437">
        <v>10</v>
      </c>
      <c r="K437" s="11">
        <v>165452</v>
      </c>
    </row>
    <row r="438" spans="1:11" x14ac:dyDescent="0.3">
      <c r="A438" s="11">
        <v>83600</v>
      </c>
      <c r="B438">
        <v>704</v>
      </c>
      <c r="C438" s="11">
        <v>-880</v>
      </c>
      <c r="D438" s="11">
        <v>125</v>
      </c>
      <c r="E438" s="11">
        <v>120</v>
      </c>
      <c r="F438" t="s">
        <v>30</v>
      </c>
      <c r="G438">
        <v>10</v>
      </c>
      <c r="I438" t="s">
        <v>30</v>
      </c>
      <c r="J438">
        <v>10</v>
      </c>
      <c r="K438" s="11">
        <v>165452</v>
      </c>
    </row>
    <row r="439" spans="1:11" x14ac:dyDescent="0.3">
      <c r="A439" s="11">
        <v>26391</v>
      </c>
      <c r="B439">
        <v>1389</v>
      </c>
      <c r="C439" s="11">
        <v>12501</v>
      </c>
      <c r="D439" s="11">
        <v>20</v>
      </c>
      <c r="E439" s="11">
        <v>250</v>
      </c>
      <c r="F439" t="s">
        <v>30</v>
      </c>
      <c r="G439">
        <v>10</v>
      </c>
      <c r="I439" t="s">
        <v>30</v>
      </c>
      <c r="J439">
        <v>10</v>
      </c>
      <c r="K439" s="11">
        <v>6661.5999999999985</v>
      </c>
    </row>
    <row r="440" spans="1:11" x14ac:dyDescent="0.3">
      <c r="A440" s="11">
        <v>408310</v>
      </c>
      <c r="B440">
        <v>1228</v>
      </c>
      <c r="C440" s="11">
        <v>89030</v>
      </c>
      <c r="D440" s="11">
        <v>350</v>
      </c>
      <c r="E440" s="11">
        <v>260</v>
      </c>
      <c r="F440" t="s">
        <v>30</v>
      </c>
      <c r="G440">
        <v>10</v>
      </c>
      <c r="I440" t="s">
        <v>30</v>
      </c>
      <c r="J440">
        <v>10</v>
      </c>
      <c r="K440" s="11">
        <v>2952.3999999999996</v>
      </c>
    </row>
    <row r="441" spans="1:11" x14ac:dyDescent="0.3">
      <c r="A441" s="11">
        <v>25932.720000000001</v>
      </c>
      <c r="B441">
        <v>2299</v>
      </c>
      <c r="C441" s="11">
        <v>19035.72</v>
      </c>
      <c r="D441" s="11">
        <v>12</v>
      </c>
      <c r="E441" s="11">
        <v>3</v>
      </c>
      <c r="F441" t="s">
        <v>30</v>
      </c>
      <c r="G441">
        <v>10</v>
      </c>
      <c r="I441" t="s">
        <v>30</v>
      </c>
      <c r="J441">
        <v>10</v>
      </c>
      <c r="K441" s="11">
        <v>1912.3500000000004</v>
      </c>
    </row>
    <row r="442" spans="1:11" x14ac:dyDescent="0.3">
      <c r="A442" s="11">
        <v>9231.74</v>
      </c>
      <c r="B442">
        <v>1403</v>
      </c>
      <c r="C442" s="11">
        <v>2216.7399999999998</v>
      </c>
      <c r="D442" s="11">
        <v>7</v>
      </c>
      <c r="E442" s="11">
        <v>5</v>
      </c>
      <c r="F442" t="s">
        <v>30</v>
      </c>
      <c r="G442">
        <v>10</v>
      </c>
      <c r="I442" t="s">
        <v>30</v>
      </c>
      <c r="J442">
        <v>10</v>
      </c>
      <c r="K442" s="11">
        <v>4436.8499999999985</v>
      </c>
    </row>
    <row r="443" spans="1:11" x14ac:dyDescent="0.3">
      <c r="A443" s="11">
        <v>25932.720000000001</v>
      </c>
      <c r="B443">
        <v>2299</v>
      </c>
      <c r="C443" s="11">
        <v>19035.72</v>
      </c>
      <c r="D443" s="11">
        <v>12</v>
      </c>
      <c r="E443" s="11">
        <v>10</v>
      </c>
      <c r="F443" t="s">
        <v>30</v>
      </c>
      <c r="G443">
        <v>10</v>
      </c>
      <c r="I443" t="s">
        <v>30</v>
      </c>
      <c r="J443">
        <v>10</v>
      </c>
      <c r="K443" s="11">
        <v>4436.8499999999985</v>
      </c>
    </row>
    <row r="444" spans="1:11" x14ac:dyDescent="0.3">
      <c r="A444" s="11">
        <v>239183</v>
      </c>
      <c r="B444">
        <v>727</v>
      </c>
      <c r="C444" s="11">
        <v>50163</v>
      </c>
      <c r="D444" s="11">
        <v>350</v>
      </c>
      <c r="E444" s="11">
        <v>10</v>
      </c>
      <c r="F444" t="s">
        <v>30</v>
      </c>
      <c r="G444">
        <v>10</v>
      </c>
      <c r="I444" t="s">
        <v>30</v>
      </c>
      <c r="J444">
        <v>10</v>
      </c>
      <c r="K444" s="11">
        <v>1912.3500000000004</v>
      </c>
    </row>
    <row r="445" spans="1:11" x14ac:dyDescent="0.3">
      <c r="A445" s="11">
        <v>344322</v>
      </c>
      <c r="B445">
        <v>1221</v>
      </c>
      <c r="C445" s="11">
        <v>39072</v>
      </c>
      <c r="D445" s="11">
        <v>300</v>
      </c>
      <c r="E445" s="11">
        <v>120</v>
      </c>
      <c r="F445" t="s">
        <v>30</v>
      </c>
      <c r="G445">
        <v>10</v>
      </c>
      <c r="I445" t="s">
        <v>30</v>
      </c>
      <c r="J445">
        <v>10</v>
      </c>
      <c r="K445" s="11">
        <v>89030</v>
      </c>
    </row>
    <row r="446" spans="1:11" x14ac:dyDescent="0.3">
      <c r="A446" s="11">
        <v>683004</v>
      </c>
      <c r="B446">
        <v>2076</v>
      </c>
      <c r="C446" s="11">
        <v>143244</v>
      </c>
      <c r="D446" s="11">
        <v>350</v>
      </c>
      <c r="E446" s="11">
        <v>120</v>
      </c>
      <c r="F446" t="s">
        <v>30</v>
      </c>
      <c r="G446">
        <v>10</v>
      </c>
      <c r="I446" t="s">
        <v>30</v>
      </c>
      <c r="J446">
        <v>10</v>
      </c>
      <c r="K446" s="11">
        <v>12501</v>
      </c>
    </row>
    <row r="447" spans="1:11" x14ac:dyDescent="0.3">
      <c r="A447" s="11">
        <v>344322</v>
      </c>
      <c r="B447">
        <v>1221</v>
      </c>
      <c r="C447" s="11">
        <v>39072</v>
      </c>
      <c r="D447" s="11">
        <v>300</v>
      </c>
      <c r="E447" s="11">
        <v>250</v>
      </c>
      <c r="F447" t="s">
        <v>30</v>
      </c>
      <c r="G447">
        <v>10</v>
      </c>
      <c r="I447" t="s">
        <v>30</v>
      </c>
      <c r="J447">
        <v>10</v>
      </c>
      <c r="K447" s="11">
        <v>-1076.25</v>
      </c>
    </row>
    <row r="448" spans="1:11" x14ac:dyDescent="0.3">
      <c r="A448" s="11">
        <v>239183</v>
      </c>
      <c r="B448">
        <v>727</v>
      </c>
      <c r="C448" s="11">
        <v>50163</v>
      </c>
      <c r="D448" s="11">
        <v>350</v>
      </c>
      <c r="E448" s="11">
        <v>260</v>
      </c>
      <c r="F448" t="s">
        <v>30</v>
      </c>
      <c r="G448">
        <v>10</v>
      </c>
      <c r="I448" t="s">
        <v>30</v>
      </c>
      <c r="J448">
        <v>10</v>
      </c>
      <c r="K448" s="11">
        <v>-880</v>
      </c>
    </row>
    <row r="449" spans="1:11" x14ac:dyDescent="0.3">
      <c r="A449" s="11">
        <v>9231.74</v>
      </c>
      <c r="B449">
        <v>1403</v>
      </c>
      <c r="C449" s="11">
        <v>2216.7399999999998</v>
      </c>
      <c r="D449" s="11">
        <v>7</v>
      </c>
      <c r="E449" s="11">
        <v>260</v>
      </c>
      <c r="F449" t="s">
        <v>30</v>
      </c>
      <c r="G449">
        <v>10</v>
      </c>
      <c r="I449" t="s">
        <v>30</v>
      </c>
      <c r="J449">
        <v>10</v>
      </c>
      <c r="K449" s="11">
        <v>-1076.25</v>
      </c>
    </row>
    <row r="450" spans="1:11" x14ac:dyDescent="0.3">
      <c r="A450" s="11">
        <v>683004</v>
      </c>
      <c r="B450">
        <v>2076</v>
      </c>
      <c r="C450" s="11">
        <v>143244</v>
      </c>
      <c r="D450" s="11">
        <v>350</v>
      </c>
      <c r="E450" s="11">
        <v>260</v>
      </c>
      <c r="F450" t="s">
        <v>30</v>
      </c>
      <c r="G450">
        <v>10</v>
      </c>
      <c r="I450" t="s">
        <v>30</v>
      </c>
      <c r="J450">
        <v>10</v>
      </c>
      <c r="K450" s="11">
        <v>-880</v>
      </c>
    </row>
    <row r="451" spans="1:11" x14ac:dyDescent="0.3">
      <c r="A451" s="11">
        <v>33031.599999999999</v>
      </c>
      <c r="B451">
        <v>1757</v>
      </c>
      <c r="C451" s="11">
        <v>15461.599999999999</v>
      </c>
      <c r="D451" s="11">
        <v>20</v>
      </c>
      <c r="E451" s="11">
        <v>5</v>
      </c>
      <c r="F451" t="s">
        <v>30</v>
      </c>
      <c r="G451">
        <v>10</v>
      </c>
      <c r="I451" t="s">
        <v>30</v>
      </c>
      <c r="J451">
        <v>10</v>
      </c>
      <c r="K451" s="11">
        <v>12501</v>
      </c>
    </row>
    <row r="452" spans="1:11" x14ac:dyDescent="0.3">
      <c r="A452" s="11">
        <v>16257.3</v>
      </c>
      <c r="B452">
        <v>1153</v>
      </c>
      <c r="C452" s="11">
        <v>4727.2999999999993</v>
      </c>
      <c r="D452" s="11">
        <v>15</v>
      </c>
      <c r="E452" s="11">
        <v>10</v>
      </c>
      <c r="F452" t="s">
        <v>30</v>
      </c>
      <c r="G452">
        <v>10</v>
      </c>
      <c r="I452" t="s">
        <v>30</v>
      </c>
      <c r="J452">
        <v>10</v>
      </c>
      <c r="K452" s="11">
        <v>89030</v>
      </c>
    </row>
    <row r="453" spans="1:11" x14ac:dyDescent="0.3">
      <c r="A453" s="11">
        <v>33031.599999999999</v>
      </c>
      <c r="B453">
        <v>1757</v>
      </c>
      <c r="C453" s="11">
        <v>15461.599999999999</v>
      </c>
      <c r="D453" s="11">
        <v>20</v>
      </c>
      <c r="E453" s="11">
        <v>10</v>
      </c>
      <c r="F453" t="s">
        <v>30</v>
      </c>
      <c r="G453">
        <v>10</v>
      </c>
      <c r="I453" t="s">
        <v>30</v>
      </c>
      <c r="J453">
        <v>10</v>
      </c>
      <c r="K453" s="11">
        <v>19035.72</v>
      </c>
    </row>
    <row r="454" spans="1:11" x14ac:dyDescent="0.3">
      <c r="A454" s="11">
        <v>16257.3</v>
      </c>
      <c r="B454">
        <v>1153</v>
      </c>
      <c r="C454" s="11">
        <v>4727.2999999999993</v>
      </c>
      <c r="D454" s="11">
        <v>15</v>
      </c>
      <c r="E454" s="11">
        <v>250</v>
      </c>
      <c r="F454" t="s">
        <v>30</v>
      </c>
      <c r="G454">
        <v>10</v>
      </c>
      <c r="I454" t="s">
        <v>30</v>
      </c>
      <c r="J454">
        <v>10</v>
      </c>
      <c r="K454" s="11">
        <v>2216.7399999999998</v>
      </c>
    </row>
    <row r="455" spans="1:11" x14ac:dyDescent="0.3">
      <c r="A455" s="11">
        <v>608499</v>
      </c>
      <c r="B455">
        <v>2181</v>
      </c>
      <c r="C455" s="11">
        <v>63249</v>
      </c>
      <c r="D455" s="11">
        <v>300</v>
      </c>
      <c r="E455" s="11">
        <v>3</v>
      </c>
      <c r="F455" t="s">
        <v>30</v>
      </c>
      <c r="G455">
        <v>10</v>
      </c>
      <c r="I455" t="s">
        <v>30</v>
      </c>
      <c r="J455">
        <v>10</v>
      </c>
      <c r="K455" s="11">
        <v>19035.72</v>
      </c>
    </row>
    <row r="456" spans="1:11" x14ac:dyDescent="0.3">
      <c r="A456" s="11">
        <v>36753.599999999999</v>
      </c>
      <c r="B456">
        <v>1976</v>
      </c>
      <c r="C456" s="11">
        <v>16993.599999999999</v>
      </c>
      <c r="D456" s="11">
        <v>20</v>
      </c>
      <c r="E456" s="11">
        <v>5</v>
      </c>
      <c r="F456" t="s">
        <v>30</v>
      </c>
      <c r="G456">
        <v>10</v>
      </c>
      <c r="I456" t="s">
        <v>30</v>
      </c>
      <c r="J456">
        <v>10</v>
      </c>
      <c r="K456" s="11">
        <v>50163</v>
      </c>
    </row>
    <row r="457" spans="1:11" x14ac:dyDescent="0.3">
      <c r="A457" s="11">
        <v>608499</v>
      </c>
      <c r="B457">
        <v>2181</v>
      </c>
      <c r="C457" s="11">
        <v>63249</v>
      </c>
      <c r="D457" s="11">
        <v>300</v>
      </c>
      <c r="E457" s="11">
        <v>5</v>
      </c>
      <c r="F457" t="s">
        <v>30</v>
      </c>
      <c r="G457">
        <v>10</v>
      </c>
      <c r="I457" t="s">
        <v>30</v>
      </c>
      <c r="J457">
        <v>10</v>
      </c>
      <c r="K457" s="11">
        <v>39072</v>
      </c>
    </row>
    <row r="458" spans="1:11" x14ac:dyDescent="0.3">
      <c r="A458" s="11">
        <v>36753.599999999999</v>
      </c>
      <c r="B458">
        <v>1976</v>
      </c>
      <c r="C458" s="11">
        <v>16993.599999999999</v>
      </c>
      <c r="D458" s="11">
        <v>20</v>
      </c>
      <c r="E458" s="11">
        <v>120</v>
      </c>
      <c r="F458" t="s">
        <v>30</v>
      </c>
      <c r="G458">
        <v>10</v>
      </c>
      <c r="I458" t="s">
        <v>30</v>
      </c>
      <c r="J458">
        <v>10</v>
      </c>
      <c r="K458" s="11">
        <v>143244</v>
      </c>
    </row>
    <row r="459" spans="1:11" x14ac:dyDescent="0.3">
      <c r="A459" s="11">
        <v>4007.64</v>
      </c>
      <c r="B459">
        <v>367</v>
      </c>
      <c r="C459" s="11">
        <v>2906.64</v>
      </c>
      <c r="D459" s="11">
        <v>12</v>
      </c>
      <c r="E459" s="11">
        <v>3</v>
      </c>
      <c r="F459" t="s">
        <v>30</v>
      </c>
      <c r="G459">
        <v>10</v>
      </c>
      <c r="I459" t="s">
        <v>30</v>
      </c>
      <c r="J459">
        <v>10</v>
      </c>
      <c r="K459" s="11">
        <v>39072</v>
      </c>
    </row>
    <row r="460" spans="1:11" x14ac:dyDescent="0.3">
      <c r="A460" s="11">
        <v>16748.55</v>
      </c>
      <c r="B460">
        <v>1227</v>
      </c>
      <c r="C460" s="11">
        <v>4478.5499999999993</v>
      </c>
      <c r="D460" s="11">
        <v>15</v>
      </c>
      <c r="E460" s="11">
        <v>10</v>
      </c>
      <c r="F460" t="s">
        <v>30</v>
      </c>
      <c r="G460">
        <v>10</v>
      </c>
      <c r="I460" t="s">
        <v>30</v>
      </c>
      <c r="J460">
        <v>10</v>
      </c>
      <c r="K460" s="11">
        <v>50163</v>
      </c>
    </row>
    <row r="461" spans="1:11" x14ac:dyDescent="0.3">
      <c r="A461" s="11">
        <v>4007.64</v>
      </c>
      <c r="B461">
        <v>367</v>
      </c>
      <c r="C461" s="11">
        <v>2906.64</v>
      </c>
      <c r="D461" s="11">
        <v>12</v>
      </c>
      <c r="E461" s="11">
        <v>10</v>
      </c>
      <c r="F461" t="s">
        <v>30</v>
      </c>
      <c r="G461">
        <v>10</v>
      </c>
      <c r="I461" t="s">
        <v>30</v>
      </c>
      <c r="J461">
        <v>10</v>
      </c>
      <c r="K461" s="11">
        <v>2216.7399999999998</v>
      </c>
    </row>
    <row r="462" spans="1:11" x14ac:dyDescent="0.3">
      <c r="A462" s="11">
        <v>404176.5</v>
      </c>
      <c r="B462">
        <v>1269</v>
      </c>
      <c r="C462" s="11">
        <v>74236.5</v>
      </c>
      <c r="D462" s="11">
        <v>350</v>
      </c>
      <c r="E462" s="11">
        <v>120</v>
      </c>
      <c r="F462" t="s">
        <v>30</v>
      </c>
      <c r="G462">
        <v>10</v>
      </c>
      <c r="I462" t="s">
        <v>30</v>
      </c>
      <c r="J462">
        <v>10</v>
      </c>
      <c r="K462" s="11">
        <v>143244</v>
      </c>
    </row>
    <row r="463" spans="1:11" x14ac:dyDescent="0.3">
      <c r="A463" s="11">
        <v>16748.55</v>
      </c>
      <c r="B463">
        <v>1227</v>
      </c>
      <c r="C463" s="11">
        <v>4478.5499999999993</v>
      </c>
      <c r="D463" s="11">
        <v>15</v>
      </c>
      <c r="E463" s="11">
        <v>250</v>
      </c>
      <c r="F463" t="s">
        <v>30</v>
      </c>
      <c r="G463">
        <v>10</v>
      </c>
      <c r="I463" t="s">
        <v>30</v>
      </c>
      <c r="J463">
        <v>10</v>
      </c>
      <c r="K463" s="11">
        <v>15461.599999999999</v>
      </c>
    </row>
    <row r="464" spans="1:11" x14ac:dyDescent="0.3">
      <c r="A464" s="11">
        <v>404176.5</v>
      </c>
      <c r="B464">
        <v>1269</v>
      </c>
      <c r="C464" s="11">
        <v>74236.5</v>
      </c>
      <c r="D464" s="11">
        <v>350</v>
      </c>
      <c r="E464" s="11">
        <v>260</v>
      </c>
      <c r="F464" t="s">
        <v>30</v>
      </c>
      <c r="G464">
        <v>10</v>
      </c>
      <c r="I464" t="s">
        <v>30</v>
      </c>
      <c r="J464">
        <v>10</v>
      </c>
      <c r="K464" s="11">
        <v>4727.2999999999993</v>
      </c>
    </row>
    <row r="465" spans="1:11" x14ac:dyDescent="0.3">
      <c r="A465" s="11">
        <v>2293.1999999999998</v>
      </c>
      <c r="B465">
        <v>360</v>
      </c>
      <c r="C465" s="11">
        <v>493.19999999999982</v>
      </c>
      <c r="D465" s="11">
        <v>7</v>
      </c>
      <c r="E465" s="11">
        <v>10</v>
      </c>
      <c r="F465" t="s">
        <v>30</v>
      </c>
      <c r="G465">
        <v>10</v>
      </c>
      <c r="I465" t="s">
        <v>30</v>
      </c>
      <c r="J465">
        <v>10</v>
      </c>
      <c r="K465" s="11">
        <v>15461.599999999999</v>
      </c>
    </row>
    <row r="466" spans="1:11" x14ac:dyDescent="0.3">
      <c r="A466" s="11">
        <v>2293.1999999999998</v>
      </c>
      <c r="B466">
        <v>360</v>
      </c>
      <c r="C466" s="11">
        <v>493.19999999999982</v>
      </c>
      <c r="D466" s="11">
        <v>7</v>
      </c>
      <c r="E466" s="11">
        <v>250</v>
      </c>
      <c r="F466" t="s">
        <v>30</v>
      </c>
      <c r="G466">
        <v>10</v>
      </c>
      <c r="I466" t="s">
        <v>30</v>
      </c>
      <c r="J466">
        <v>10</v>
      </c>
      <c r="K466" s="11">
        <v>4727.2999999999993</v>
      </c>
    </row>
    <row r="467" spans="1:11" x14ac:dyDescent="0.3">
      <c r="A467" s="11">
        <v>4168.8</v>
      </c>
      <c r="B467">
        <v>386</v>
      </c>
      <c r="C467" s="11">
        <v>3010.8</v>
      </c>
      <c r="D467" s="11">
        <v>12</v>
      </c>
      <c r="E467" s="11">
        <v>3</v>
      </c>
      <c r="F467" t="s">
        <v>30</v>
      </c>
      <c r="G467">
        <v>10</v>
      </c>
      <c r="I467" t="s">
        <v>30</v>
      </c>
      <c r="J467">
        <v>10</v>
      </c>
      <c r="K467" s="11">
        <v>63249</v>
      </c>
    </row>
    <row r="468" spans="1:11" x14ac:dyDescent="0.3">
      <c r="A468" s="11">
        <v>4168.8</v>
      </c>
      <c r="B468">
        <v>386</v>
      </c>
      <c r="C468" s="11">
        <v>3010.8</v>
      </c>
      <c r="D468" s="11">
        <v>12</v>
      </c>
      <c r="E468" s="11">
        <v>10</v>
      </c>
      <c r="F468" t="s">
        <v>30</v>
      </c>
      <c r="G468">
        <v>10</v>
      </c>
      <c r="I468" t="s">
        <v>30</v>
      </c>
      <c r="J468">
        <v>10</v>
      </c>
      <c r="K468" s="11">
        <v>16993.599999999999</v>
      </c>
    </row>
    <row r="469" spans="1:11" x14ac:dyDescent="0.3">
      <c r="A469" s="11">
        <v>29254.5</v>
      </c>
      <c r="B469">
        <v>2167</v>
      </c>
      <c r="C469" s="11">
        <v>7584.5</v>
      </c>
      <c r="D469" s="11">
        <v>15</v>
      </c>
      <c r="E469" s="11">
        <v>10</v>
      </c>
      <c r="F469" t="s">
        <v>30</v>
      </c>
      <c r="G469">
        <v>10</v>
      </c>
      <c r="I469" t="s">
        <v>30</v>
      </c>
      <c r="J469">
        <v>10</v>
      </c>
      <c r="K469" s="11">
        <v>63249</v>
      </c>
    </row>
    <row r="470" spans="1:11" x14ac:dyDescent="0.3">
      <c r="A470" s="11">
        <v>4338</v>
      </c>
      <c r="B470">
        <v>241</v>
      </c>
      <c r="C470" s="11">
        <v>1928</v>
      </c>
      <c r="D470" s="11">
        <v>20</v>
      </c>
      <c r="E470" s="11">
        <v>10</v>
      </c>
      <c r="F470" t="s">
        <v>30</v>
      </c>
      <c r="G470">
        <v>10</v>
      </c>
      <c r="I470" t="s">
        <v>30</v>
      </c>
      <c r="J470">
        <v>10</v>
      </c>
      <c r="K470" s="11">
        <v>16993.599999999999</v>
      </c>
    </row>
    <row r="471" spans="1:11" x14ac:dyDescent="0.3">
      <c r="A471" s="11">
        <v>619380</v>
      </c>
      <c r="B471">
        <v>2294</v>
      </c>
      <c r="C471" s="11">
        <v>45880</v>
      </c>
      <c r="D471" s="11">
        <v>300</v>
      </c>
      <c r="E471" s="11">
        <v>120</v>
      </c>
      <c r="F471" t="s">
        <v>30</v>
      </c>
      <c r="G471">
        <v>10</v>
      </c>
      <c r="I471" t="s">
        <v>30</v>
      </c>
      <c r="J471">
        <v>10</v>
      </c>
      <c r="K471" s="11">
        <v>2906.64</v>
      </c>
    </row>
    <row r="472" spans="1:11" x14ac:dyDescent="0.3">
      <c r="A472" s="11">
        <v>4338</v>
      </c>
      <c r="B472">
        <v>241</v>
      </c>
      <c r="C472" s="11">
        <v>1928</v>
      </c>
      <c r="D472" s="11">
        <v>20</v>
      </c>
      <c r="E472" s="11">
        <v>120</v>
      </c>
      <c r="F472" t="s">
        <v>30</v>
      </c>
      <c r="G472">
        <v>10</v>
      </c>
      <c r="I472" t="s">
        <v>30</v>
      </c>
      <c r="J472">
        <v>10</v>
      </c>
      <c r="K472" s="11">
        <v>4478.5499999999993</v>
      </c>
    </row>
    <row r="473" spans="1:11" x14ac:dyDescent="0.3">
      <c r="A473" s="11">
        <v>619380</v>
      </c>
      <c r="B473">
        <v>2294</v>
      </c>
      <c r="C473" s="11">
        <v>45880</v>
      </c>
      <c r="D473" s="11">
        <v>300</v>
      </c>
      <c r="E473" s="11">
        <v>250</v>
      </c>
      <c r="F473" t="s">
        <v>30</v>
      </c>
      <c r="G473">
        <v>10</v>
      </c>
      <c r="I473" t="s">
        <v>30</v>
      </c>
      <c r="J473">
        <v>10</v>
      </c>
      <c r="K473" s="11">
        <v>2906.64</v>
      </c>
    </row>
    <row r="474" spans="1:11" x14ac:dyDescent="0.3">
      <c r="A474" s="11">
        <v>29254.5</v>
      </c>
      <c r="B474">
        <v>2167</v>
      </c>
      <c r="C474" s="11">
        <v>7584.5</v>
      </c>
      <c r="D474" s="11">
        <v>15</v>
      </c>
      <c r="E474" s="11">
        <v>250</v>
      </c>
      <c r="F474" t="s">
        <v>30</v>
      </c>
      <c r="G474">
        <v>10</v>
      </c>
      <c r="I474" t="s">
        <v>30</v>
      </c>
      <c r="J474">
        <v>10</v>
      </c>
      <c r="K474" s="11">
        <v>74236.5</v>
      </c>
    </row>
    <row r="475" spans="1:11" x14ac:dyDescent="0.3">
      <c r="A475" s="11">
        <v>12794.64</v>
      </c>
      <c r="B475">
        <v>1198</v>
      </c>
      <c r="C475" s="11">
        <v>9200.64</v>
      </c>
      <c r="D475" s="11">
        <v>12</v>
      </c>
      <c r="E475" s="11">
        <v>3</v>
      </c>
      <c r="F475" t="s">
        <v>30</v>
      </c>
      <c r="G475">
        <v>10</v>
      </c>
      <c r="I475" t="s">
        <v>30</v>
      </c>
      <c r="J475">
        <v>10</v>
      </c>
      <c r="K475" s="11">
        <v>4478.5499999999993</v>
      </c>
    </row>
    <row r="476" spans="1:11" x14ac:dyDescent="0.3">
      <c r="A476" s="11">
        <v>12794.64</v>
      </c>
      <c r="B476">
        <v>1198</v>
      </c>
      <c r="C476" s="11">
        <v>9200.64</v>
      </c>
      <c r="D476" s="11">
        <v>12</v>
      </c>
      <c r="E476" s="11">
        <v>10</v>
      </c>
      <c r="F476" t="s">
        <v>30</v>
      </c>
      <c r="G476">
        <v>10</v>
      </c>
      <c r="I476" t="s">
        <v>30</v>
      </c>
      <c r="J476">
        <v>10</v>
      </c>
      <c r="K476" s="11">
        <v>74236.5</v>
      </c>
    </row>
    <row r="477" spans="1:11" x14ac:dyDescent="0.3">
      <c r="A477" s="11">
        <v>5040.96</v>
      </c>
      <c r="B477">
        <v>472</v>
      </c>
      <c r="C477" s="11">
        <v>3624.96</v>
      </c>
      <c r="D477" s="11">
        <v>12</v>
      </c>
      <c r="E477" s="11">
        <v>120</v>
      </c>
      <c r="F477" t="s">
        <v>30</v>
      </c>
      <c r="G477">
        <v>10</v>
      </c>
      <c r="I477" t="s">
        <v>30</v>
      </c>
      <c r="J477">
        <v>10</v>
      </c>
      <c r="K477" s="11">
        <v>493.19999999999982</v>
      </c>
    </row>
    <row r="478" spans="1:11" x14ac:dyDescent="0.3">
      <c r="A478" s="11">
        <v>5040.96</v>
      </c>
      <c r="B478">
        <v>472</v>
      </c>
      <c r="C478" s="11">
        <v>3624.96</v>
      </c>
      <c r="D478" s="11">
        <v>12</v>
      </c>
      <c r="E478" s="11">
        <v>260</v>
      </c>
      <c r="F478" t="s">
        <v>30</v>
      </c>
      <c r="G478">
        <v>10</v>
      </c>
      <c r="I478" t="s">
        <v>30</v>
      </c>
      <c r="J478">
        <v>10</v>
      </c>
      <c r="K478" s="11">
        <v>493.19999999999982</v>
      </c>
    </row>
    <row r="479" spans="1:11" x14ac:dyDescent="0.3">
      <c r="A479" s="11">
        <v>271561.25</v>
      </c>
      <c r="B479">
        <v>2441</v>
      </c>
      <c r="C479" s="11">
        <v>-21358.75</v>
      </c>
      <c r="D479" s="11">
        <v>125</v>
      </c>
      <c r="E479" s="11">
        <v>3</v>
      </c>
      <c r="F479" t="s">
        <v>30</v>
      </c>
      <c r="G479">
        <v>10</v>
      </c>
      <c r="I479" t="s">
        <v>30</v>
      </c>
      <c r="J479">
        <v>10</v>
      </c>
      <c r="K479" s="11">
        <v>3010.8</v>
      </c>
    </row>
    <row r="480" spans="1:11" x14ac:dyDescent="0.3">
      <c r="A480" s="11">
        <v>53257.599999999999</v>
      </c>
      <c r="B480">
        <v>2992</v>
      </c>
      <c r="C480" s="11">
        <v>23337.599999999999</v>
      </c>
      <c r="D480" s="11">
        <v>20</v>
      </c>
      <c r="E480" s="11">
        <v>5</v>
      </c>
      <c r="F480" t="s">
        <v>30</v>
      </c>
      <c r="G480">
        <v>10</v>
      </c>
      <c r="I480" t="s">
        <v>30</v>
      </c>
      <c r="J480">
        <v>10</v>
      </c>
      <c r="K480" s="11">
        <v>3010.8</v>
      </c>
    </row>
    <row r="481" spans="1:11" x14ac:dyDescent="0.3">
      <c r="A481" s="11">
        <v>271561.25</v>
      </c>
      <c r="B481">
        <v>2441</v>
      </c>
      <c r="C481" s="11">
        <v>-21358.75</v>
      </c>
      <c r="D481" s="11">
        <v>125</v>
      </c>
      <c r="E481" s="11">
        <v>10</v>
      </c>
      <c r="F481" t="s">
        <v>30</v>
      </c>
      <c r="G481">
        <v>10</v>
      </c>
      <c r="I481" t="s">
        <v>30</v>
      </c>
      <c r="J481">
        <v>10</v>
      </c>
      <c r="K481" s="11">
        <v>7584.5</v>
      </c>
    </row>
    <row r="482" spans="1:11" x14ac:dyDescent="0.3">
      <c r="A482" s="11">
        <v>53257.599999999999</v>
      </c>
      <c r="B482">
        <v>2992</v>
      </c>
      <c r="C482" s="11">
        <v>23337.599999999999</v>
      </c>
      <c r="D482" s="11">
        <v>20</v>
      </c>
      <c r="E482" s="11">
        <v>10</v>
      </c>
      <c r="F482" t="s">
        <v>30</v>
      </c>
      <c r="G482">
        <v>10</v>
      </c>
      <c r="I482" t="s">
        <v>30</v>
      </c>
      <c r="J482">
        <v>10</v>
      </c>
      <c r="K482" s="11">
        <v>1928</v>
      </c>
    </row>
    <row r="483" spans="1:11" x14ac:dyDescent="0.3">
      <c r="A483" s="11">
        <v>107156</v>
      </c>
      <c r="B483">
        <v>344</v>
      </c>
      <c r="C483" s="11">
        <v>17716</v>
      </c>
      <c r="D483" s="11">
        <v>350</v>
      </c>
      <c r="E483" s="11">
        <v>120</v>
      </c>
      <c r="F483" t="s">
        <v>30</v>
      </c>
      <c r="G483">
        <v>10</v>
      </c>
      <c r="I483" t="s">
        <v>30</v>
      </c>
      <c r="J483">
        <v>10</v>
      </c>
      <c r="K483" s="11">
        <v>45880</v>
      </c>
    </row>
    <row r="484" spans="1:11" x14ac:dyDescent="0.3">
      <c r="A484" s="11">
        <v>107156</v>
      </c>
      <c r="B484">
        <v>344</v>
      </c>
      <c r="C484" s="11">
        <v>17716</v>
      </c>
      <c r="D484" s="11">
        <v>350</v>
      </c>
      <c r="E484" s="11">
        <v>260</v>
      </c>
      <c r="F484" t="s">
        <v>30</v>
      </c>
      <c r="G484">
        <v>10</v>
      </c>
      <c r="I484" t="s">
        <v>30</v>
      </c>
      <c r="J484">
        <v>10</v>
      </c>
      <c r="K484" s="11">
        <v>1928</v>
      </c>
    </row>
    <row r="485" spans="1:11" x14ac:dyDescent="0.3">
      <c r="A485" s="11">
        <v>237160</v>
      </c>
      <c r="B485">
        <v>2156</v>
      </c>
      <c r="C485" s="11">
        <v>-21560</v>
      </c>
      <c r="D485" s="11">
        <v>125</v>
      </c>
      <c r="E485" s="11">
        <v>3</v>
      </c>
      <c r="F485" t="s">
        <v>30</v>
      </c>
      <c r="G485">
        <v>10</v>
      </c>
      <c r="I485" t="s">
        <v>30</v>
      </c>
      <c r="J485">
        <v>10</v>
      </c>
      <c r="K485" s="11">
        <v>45880</v>
      </c>
    </row>
    <row r="486" spans="1:11" x14ac:dyDescent="0.3">
      <c r="A486" s="11">
        <v>16841.439999999999</v>
      </c>
      <c r="B486">
        <v>2734</v>
      </c>
      <c r="C486" s="11">
        <v>3171.4399999999987</v>
      </c>
      <c r="D486" s="11">
        <v>7</v>
      </c>
      <c r="E486" s="11">
        <v>5</v>
      </c>
      <c r="F486" t="s">
        <v>30</v>
      </c>
      <c r="G486">
        <v>10</v>
      </c>
      <c r="I486" t="s">
        <v>30</v>
      </c>
      <c r="J486">
        <v>10</v>
      </c>
      <c r="K486" s="11">
        <v>7584.5</v>
      </c>
    </row>
    <row r="487" spans="1:11" x14ac:dyDescent="0.3">
      <c r="A487" s="11">
        <v>30184</v>
      </c>
      <c r="B487">
        <v>1715</v>
      </c>
      <c r="C487" s="11">
        <v>13034</v>
      </c>
      <c r="D487" s="11">
        <v>20</v>
      </c>
      <c r="E487" s="11">
        <v>5</v>
      </c>
      <c r="F487" t="s">
        <v>30</v>
      </c>
      <c r="G487">
        <v>10</v>
      </c>
      <c r="I487" t="s">
        <v>30</v>
      </c>
      <c r="J487">
        <v>10</v>
      </c>
      <c r="K487" s="11">
        <v>9200.64</v>
      </c>
    </row>
    <row r="488" spans="1:11" x14ac:dyDescent="0.3">
      <c r="A488" s="11">
        <v>237160</v>
      </c>
      <c r="B488">
        <v>2156</v>
      </c>
      <c r="C488" s="11">
        <v>-21560</v>
      </c>
      <c r="D488" s="11">
        <v>125</v>
      </c>
      <c r="E488" s="11">
        <v>10</v>
      </c>
      <c r="F488" t="s">
        <v>30</v>
      </c>
      <c r="G488">
        <v>10</v>
      </c>
      <c r="I488" t="s">
        <v>30</v>
      </c>
      <c r="J488">
        <v>10</v>
      </c>
      <c r="K488" s="11">
        <v>9200.64</v>
      </c>
    </row>
    <row r="489" spans="1:11" x14ac:dyDescent="0.3">
      <c r="A489" s="11">
        <v>15928</v>
      </c>
      <c r="B489">
        <v>905</v>
      </c>
      <c r="C489" s="11">
        <v>6878</v>
      </c>
      <c r="D489" s="11">
        <v>20</v>
      </c>
      <c r="E489" s="11">
        <v>10</v>
      </c>
      <c r="F489" t="s">
        <v>30</v>
      </c>
      <c r="G489">
        <v>10</v>
      </c>
      <c r="I489" t="s">
        <v>30</v>
      </c>
      <c r="J489">
        <v>10</v>
      </c>
      <c r="K489" s="11">
        <v>3624.96</v>
      </c>
    </row>
    <row r="490" spans="1:11" x14ac:dyDescent="0.3">
      <c r="A490" s="11">
        <v>30184</v>
      </c>
      <c r="B490">
        <v>1715</v>
      </c>
      <c r="C490" s="11">
        <v>13034</v>
      </c>
      <c r="D490" s="11">
        <v>20</v>
      </c>
      <c r="E490" s="11">
        <v>10</v>
      </c>
      <c r="F490" t="s">
        <v>30</v>
      </c>
      <c r="G490">
        <v>10</v>
      </c>
      <c r="I490" t="s">
        <v>30</v>
      </c>
      <c r="J490">
        <v>10</v>
      </c>
      <c r="K490" s="11">
        <v>3624.96</v>
      </c>
    </row>
    <row r="491" spans="1:11" x14ac:dyDescent="0.3">
      <c r="A491" s="11">
        <v>303688</v>
      </c>
      <c r="B491">
        <v>986</v>
      </c>
      <c r="C491" s="11">
        <v>47328</v>
      </c>
      <c r="D491" s="11">
        <v>350</v>
      </c>
      <c r="E491" s="11">
        <v>120</v>
      </c>
      <c r="F491" t="s">
        <v>30</v>
      </c>
      <c r="G491">
        <v>10</v>
      </c>
      <c r="I491" t="s">
        <v>30</v>
      </c>
      <c r="J491">
        <v>10</v>
      </c>
      <c r="K491" s="11">
        <v>-21358.75</v>
      </c>
    </row>
    <row r="492" spans="1:11" x14ac:dyDescent="0.3">
      <c r="A492" s="11">
        <v>15928</v>
      </c>
      <c r="B492">
        <v>905</v>
      </c>
      <c r="C492" s="11">
        <v>6878</v>
      </c>
      <c r="D492" s="11">
        <v>20</v>
      </c>
      <c r="E492" s="11">
        <v>120</v>
      </c>
      <c r="F492" t="s">
        <v>30</v>
      </c>
      <c r="G492">
        <v>10</v>
      </c>
      <c r="I492" t="s">
        <v>30</v>
      </c>
      <c r="J492">
        <v>10</v>
      </c>
      <c r="K492" s="11">
        <v>23337.599999999999</v>
      </c>
    </row>
    <row r="493" spans="1:11" x14ac:dyDescent="0.3">
      <c r="A493" s="11">
        <v>303688</v>
      </c>
      <c r="B493">
        <v>986</v>
      </c>
      <c r="C493" s="11">
        <v>47328</v>
      </c>
      <c r="D493" s="11">
        <v>350</v>
      </c>
      <c r="E493" s="11">
        <v>250</v>
      </c>
      <c r="F493" t="s">
        <v>30</v>
      </c>
      <c r="G493">
        <v>10</v>
      </c>
      <c r="I493" t="s">
        <v>30</v>
      </c>
      <c r="J493">
        <v>10</v>
      </c>
      <c r="K493" s="11">
        <v>-21358.75</v>
      </c>
    </row>
    <row r="494" spans="1:11" x14ac:dyDescent="0.3">
      <c r="A494" s="11">
        <v>16841.439999999999</v>
      </c>
      <c r="B494">
        <v>2734</v>
      </c>
      <c r="C494" s="11">
        <v>3171.4399999999987</v>
      </c>
      <c r="D494" s="11">
        <v>7</v>
      </c>
      <c r="E494" s="11">
        <v>260</v>
      </c>
      <c r="F494" t="s">
        <v>30</v>
      </c>
      <c r="G494">
        <v>10</v>
      </c>
      <c r="I494" t="s">
        <v>30</v>
      </c>
      <c r="J494">
        <v>10</v>
      </c>
      <c r="K494" s="11">
        <v>23337.599999999999</v>
      </c>
    </row>
    <row r="495" spans="1:11" x14ac:dyDescent="0.3">
      <c r="A495" s="11">
        <v>21732.6</v>
      </c>
      <c r="B495">
        <v>1249</v>
      </c>
      <c r="C495" s="11">
        <v>9242.5999999999985</v>
      </c>
      <c r="D495" s="11">
        <v>20</v>
      </c>
      <c r="E495" s="11">
        <v>5</v>
      </c>
      <c r="F495" t="s">
        <v>30</v>
      </c>
      <c r="G495">
        <v>10</v>
      </c>
      <c r="I495" t="s">
        <v>30</v>
      </c>
      <c r="J495">
        <v>10</v>
      </c>
      <c r="K495" s="11">
        <v>17716</v>
      </c>
    </row>
    <row r="496" spans="1:11" x14ac:dyDescent="0.3">
      <c r="A496" s="11">
        <v>20423.25</v>
      </c>
      <c r="B496">
        <v>1565</v>
      </c>
      <c r="C496" s="11">
        <v>4773.25</v>
      </c>
      <c r="D496" s="11">
        <v>15</v>
      </c>
      <c r="E496" s="11">
        <v>10</v>
      </c>
      <c r="F496" t="s">
        <v>30</v>
      </c>
      <c r="G496">
        <v>10</v>
      </c>
      <c r="I496" t="s">
        <v>30</v>
      </c>
      <c r="J496">
        <v>10</v>
      </c>
      <c r="K496" s="11">
        <v>17716</v>
      </c>
    </row>
    <row r="497" spans="1:11" x14ac:dyDescent="0.3">
      <c r="A497" s="11">
        <v>21732.6</v>
      </c>
      <c r="B497">
        <v>1249</v>
      </c>
      <c r="C497" s="11">
        <v>9242.5999999999985</v>
      </c>
      <c r="D497" s="11">
        <v>20</v>
      </c>
      <c r="E497" s="11">
        <v>10</v>
      </c>
      <c r="F497" t="s">
        <v>30</v>
      </c>
      <c r="G497">
        <v>10</v>
      </c>
      <c r="I497" t="s">
        <v>30</v>
      </c>
      <c r="J497">
        <v>10</v>
      </c>
      <c r="K497" s="11">
        <v>-21560</v>
      </c>
    </row>
    <row r="498" spans="1:11" x14ac:dyDescent="0.3">
      <c r="A498" s="11">
        <v>4280.3999999999996</v>
      </c>
      <c r="B498">
        <v>410</v>
      </c>
      <c r="C498" s="11">
        <v>3050.3999999999996</v>
      </c>
      <c r="D498" s="11">
        <v>12</v>
      </c>
      <c r="E498" s="11">
        <v>120</v>
      </c>
      <c r="F498" t="s">
        <v>30</v>
      </c>
      <c r="G498">
        <v>10</v>
      </c>
      <c r="I498" t="s">
        <v>30</v>
      </c>
      <c r="J498">
        <v>10</v>
      </c>
      <c r="K498" s="11">
        <v>3171.4399999999987</v>
      </c>
    </row>
    <row r="499" spans="1:11" x14ac:dyDescent="0.3">
      <c r="A499" s="11">
        <v>20423.25</v>
      </c>
      <c r="B499">
        <v>1565</v>
      </c>
      <c r="C499" s="11">
        <v>4773.25</v>
      </c>
      <c r="D499" s="11">
        <v>15</v>
      </c>
      <c r="E499" s="11">
        <v>250</v>
      </c>
      <c r="F499" t="s">
        <v>30</v>
      </c>
      <c r="G499">
        <v>10</v>
      </c>
      <c r="I499" t="s">
        <v>30</v>
      </c>
      <c r="J499">
        <v>10</v>
      </c>
      <c r="K499" s="11">
        <v>13034</v>
      </c>
    </row>
    <row r="500" spans="1:11" x14ac:dyDescent="0.3">
      <c r="A500" s="11">
        <v>4280.3999999999996</v>
      </c>
      <c r="B500">
        <v>410</v>
      </c>
      <c r="C500" s="11">
        <v>3050.3999999999996</v>
      </c>
      <c r="D500" s="11">
        <v>12</v>
      </c>
      <c r="E500" s="11">
        <v>260</v>
      </c>
      <c r="F500" t="s">
        <v>30</v>
      </c>
      <c r="G500">
        <v>10</v>
      </c>
      <c r="I500" t="s">
        <v>30</v>
      </c>
      <c r="J500">
        <v>10</v>
      </c>
      <c r="K500" s="11">
        <v>-21560</v>
      </c>
    </row>
    <row r="501" spans="1:11" x14ac:dyDescent="0.3">
      <c r="A501" s="11">
        <v>18035.919999999998</v>
      </c>
      <c r="B501">
        <v>2996</v>
      </c>
      <c r="C501" s="11">
        <v>3055.9199999999983</v>
      </c>
      <c r="D501" s="11">
        <v>7</v>
      </c>
      <c r="E501" s="11">
        <v>3</v>
      </c>
      <c r="F501" t="s">
        <v>30</v>
      </c>
      <c r="G501">
        <v>10</v>
      </c>
      <c r="I501" t="s">
        <v>30</v>
      </c>
      <c r="J501">
        <v>10</v>
      </c>
      <c r="K501" s="11">
        <v>6878</v>
      </c>
    </row>
    <row r="502" spans="1:11" x14ac:dyDescent="0.3">
      <c r="A502" s="11">
        <v>18035.919999999998</v>
      </c>
      <c r="B502">
        <v>2996</v>
      </c>
      <c r="C502" s="11">
        <v>3055.9199999999983</v>
      </c>
      <c r="D502" s="11">
        <v>7</v>
      </c>
      <c r="E502" s="11">
        <v>5</v>
      </c>
      <c r="F502" t="s">
        <v>30</v>
      </c>
      <c r="G502">
        <v>10</v>
      </c>
      <c r="I502" t="s">
        <v>30</v>
      </c>
      <c r="J502">
        <v>10</v>
      </c>
      <c r="K502" s="11">
        <v>13034</v>
      </c>
    </row>
    <row r="503" spans="1:11" x14ac:dyDescent="0.3">
      <c r="A503" s="11">
        <v>14375.76</v>
      </c>
      <c r="B503">
        <v>1393</v>
      </c>
      <c r="C503" s="11">
        <v>10196.76</v>
      </c>
      <c r="D503" s="11">
        <v>12</v>
      </c>
      <c r="E503" s="11">
        <v>10</v>
      </c>
      <c r="F503" t="s">
        <v>30</v>
      </c>
      <c r="G503">
        <v>10</v>
      </c>
      <c r="I503" t="s">
        <v>30</v>
      </c>
      <c r="J503">
        <v>10</v>
      </c>
      <c r="K503" s="11">
        <v>47328</v>
      </c>
    </row>
    <row r="504" spans="1:11" x14ac:dyDescent="0.3">
      <c r="A504" s="11">
        <v>14375.76</v>
      </c>
      <c r="B504">
        <v>1393</v>
      </c>
      <c r="C504" s="11">
        <v>10196.76</v>
      </c>
      <c r="D504" s="11">
        <v>12</v>
      </c>
      <c r="E504" s="11">
        <v>260</v>
      </c>
      <c r="F504" t="s">
        <v>30</v>
      </c>
      <c r="G504">
        <v>10</v>
      </c>
      <c r="I504" t="s">
        <v>30</v>
      </c>
      <c r="J504">
        <v>10</v>
      </c>
      <c r="K504" s="11">
        <v>6878</v>
      </c>
    </row>
    <row r="505" spans="1:11" x14ac:dyDescent="0.3">
      <c r="A505" s="11">
        <v>385968</v>
      </c>
      <c r="B505">
        <v>1496</v>
      </c>
      <c r="C505" s="11">
        <v>11968</v>
      </c>
      <c r="D505" s="11">
        <v>300</v>
      </c>
      <c r="E505" s="11">
        <v>3</v>
      </c>
      <c r="F505" t="s">
        <v>30</v>
      </c>
      <c r="G505">
        <v>10</v>
      </c>
      <c r="I505" t="s">
        <v>30</v>
      </c>
      <c r="J505">
        <v>10</v>
      </c>
      <c r="K505" s="11">
        <v>47328</v>
      </c>
    </row>
    <row r="506" spans="1:11" x14ac:dyDescent="0.3">
      <c r="A506" s="11">
        <v>260580</v>
      </c>
      <c r="B506">
        <v>1010</v>
      </c>
      <c r="C506" s="11">
        <v>8080</v>
      </c>
      <c r="D506" s="11">
        <v>300</v>
      </c>
      <c r="E506" s="11">
        <v>3</v>
      </c>
      <c r="F506" t="s">
        <v>30</v>
      </c>
      <c r="G506">
        <v>10</v>
      </c>
      <c r="I506" t="s">
        <v>30</v>
      </c>
      <c r="J506">
        <v>10</v>
      </c>
      <c r="K506" s="11">
        <v>3171.4399999999987</v>
      </c>
    </row>
    <row r="507" spans="1:11" x14ac:dyDescent="0.3">
      <c r="A507" s="11">
        <v>10396.540000000001</v>
      </c>
      <c r="B507">
        <v>1727</v>
      </c>
      <c r="C507" s="11">
        <v>1761.5400000000009</v>
      </c>
      <c r="D507" s="11">
        <v>7</v>
      </c>
      <c r="E507" s="11">
        <v>5</v>
      </c>
      <c r="F507" t="s">
        <v>30</v>
      </c>
      <c r="G507">
        <v>10</v>
      </c>
      <c r="I507" t="s">
        <v>30</v>
      </c>
      <c r="J507">
        <v>10</v>
      </c>
      <c r="K507" s="11">
        <v>9242.5999999999985</v>
      </c>
    </row>
    <row r="508" spans="1:11" x14ac:dyDescent="0.3">
      <c r="A508" s="11">
        <v>22484.7</v>
      </c>
      <c r="B508">
        <v>1743</v>
      </c>
      <c r="C508" s="11">
        <v>5054.7000000000007</v>
      </c>
      <c r="D508" s="11">
        <v>15</v>
      </c>
      <c r="E508" s="11">
        <v>10</v>
      </c>
      <c r="F508" t="s">
        <v>30</v>
      </c>
      <c r="G508">
        <v>10</v>
      </c>
      <c r="I508" t="s">
        <v>30</v>
      </c>
      <c r="J508">
        <v>10</v>
      </c>
      <c r="K508" s="11">
        <v>4773.25</v>
      </c>
    </row>
    <row r="509" spans="1:11" x14ac:dyDescent="0.3">
      <c r="A509" s="11">
        <v>30072.48</v>
      </c>
      <c r="B509">
        <v>2914</v>
      </c>
      <c r="C509" s="11">
        <v>21330.48</v>
      </c>
      <c r="D509" s="11">
        <v>12</v>
      </c>
      <c r="E509" s="11">
        <v>10</v>
      </c>
      <c r="F509" t="s">
        <v>30</v>
      </c>
      <c r="G509">
        <v>10</v>
      </c>
      <c r="I509" t="s">
        <v>30</v>
      </c>
      <c r="J509">
        <v>10</v>
      </c>
      <c r="K509" s="11">
        <v>9242.5999999999985</v>
      </c>
    </row>
    <row r="510" spans="1:11" x14ac:dyDescent="0.3">
      <c r="A510" s="11">
        <v>10420.619999999999</v>
      </c>
      <c r="B510">
        <v>1731</v>
      </c>
      <c r="C510" s="11">
        <v>1765.619999999999</v>
      </c>
      <c r="D510" s="11">
        <v>7</v>
      </c>
      <c r="E510" s="11">
        <v>10</v>
      </c>
      <c r="F510" t="s">
        <v>30</v>
      </c>
      <c r="G510">
        <v>10</v>
      </c>
      <c r="I510" t="s">
        <v>30</v>
      </c>
      <c r="J510">
        <v>10</v>
      </c>
      <c r="K510" s="11">
        <v>3050.3999999999996</v>
      </c>
    </row>
    <row r="511" spans="1:11" x14ac:dyDescent="0.3">
      <c r="A511" s="11">
        <v>69402</v>
      </c>
      <c r="B511">
        <v>269</v>
      </c>
      <c r="C511" s="11">
        <v>2152</v>
      </c>
      <c r="D511" s="11">
        <v>300</v>
      </c>
      <c r="E511" s="11">
        <v>120</v>
      </c>
      <c r="F511" t="s">
        <v>30</v>
      </c>
      <c r="G511">
        <v>10</v>
      </c>
      <c r="I511" t="s">
        <v>30</v>
      </c>
      <c r="J511">
        <v>10</v>
      </c>
      <c r="K511" s="11">
        <v>4773.25</v>
      </c>
    </row>
    <row r="512" spans="1:11" x14ac:dyDescent="0.3">
      <c r="A512" s="11">
        <v>69402</v>
      </c>
      <c r="B512">
        <v>269</v>
      </c>
      <c r="C512" s="11">
        <v>2152</v>
      </c>
      <c r="D512" s="11">
        <v>300</v>
      </c>
      <c r="E512" s="11">
        <v>250</v>
      </c>
      <c r="F512" t="s">
        <v>30</v>
      </c>
      <c r="G512">
        <v>10</v>
      </c>
      <c r="I512" t="s">
        <v>30</v>
      </c>
      <c r="J512">
        <v>10</v>
      </c>
      <c r="K512" s="11">
        <v>3050.3999999999996</v>
      </c>
    </row>
    <row r="513" spans="1:11" x14ac:dyDescent="0.3">
      <c r="A513" s="11">
        <v>385968</v>
      </c>
      <c r="B513">
        <v>1496</v>
      </c>
      <c r="C513" s="11">
        <v>11968</v>
      </c>
      <c r="D513" s="11">
        <v>300</v>
      </c>
      <c r="E513" s="11">
        <v>250</v>
      </c>
      <c r="F513" t="s">
        <v>30</v>
      </c>
      <c r="G513">
        <v>10</v>
      </c>
      <c r="I513" t="s">
        <v>30</v>
      </c>
      <c r="J513">
        <v>10</v>
      </c>
      <c r="K513" s="11">
        <v>3055.9199999999983</v>
      </c>
    </row>
    <row r="514" spans="1:11" x14ac:dyDescent="0.3">
      <c r="A514" s="11">
        <v>260580</v>
      </c>
      <c r="B514">
        <v>1010</v>
      </c>
      <c r="C514" s="11">
        <v>8080</v>
      </c>
      <c r="D514" s="11">
        <v>300</v>
      </c>
      <c r="E514" s="11">
        <v>250</v>
      </c>
      <c r="F514" t="s">
        <v>30</v>
      </c>
      <c r="G514">
        <v>10</v>
      </c>
      <c r="I514" t="s">
        <v>30</v>
      </c>
      <c r="J514">
        <v>10</v>
      </c>
      <c r="K514" s="11">
        <v>3055.9199999999983</v>
      </c>
    </row>
    <row r="515" spans="1:11" x14ac:dyDescent="0.3">
      <c r="A515" s="11">
        <v>22484.7</v>
      </c>
      <c r="B515">
        <v>1743</v>
      </c>
      <c r="C515" s="11">
        <v>5054.7000000000007</v>
      </c>
      <c r="D515" s="11">
        <v>15</v>
      </c>
      <c r="E515" s="11">
        <v>260</v>
      </c>
      <c r="F515" t="s">
        <v>30</v>
      </c>
      <c r="G515">
        <v>10</v>
      </c>
      <c r="I515" t="s">
        <v>30</v>
      </c>
      <c r="J515">
        <v>10</v>
      </c>
      <c r="K515" s="11">
        <v>10196.76</v>
      </c>
    </row>
    <row r="516" spans="1:11" x14ac:dyDescent="0.3">
      <c r="A516" s="11">
        <v>30072.48</v>
      </c>
      <c r="B516">
        <v>2914</v>
      </c>
      <c r="C516" s="11">
        <v>21330.48</v>
      </c>
      <c r="D516" s="11">
        <v>12</v>
      </c>
      <c r="E516" s="11">
        <v>260</v>
      </c>
      <c r="F516" t="s">
        <v>30</v>
      </c>
      <c r="G516">
        <v>10</v>
      </c>
      <c r="I516" t="s">
        <v>30</v>
      </c>
      <c r="J516">
        <v>10</v>
      </c>
      <c r="K516" s="11">
        <v>10196.76</v>
      </c>
    </row>
    <row r="517" spans="1:11" x14ac:dyDescent="0.3">
      <c r="A517" s="11">
        <v>10420.619999999999</v>
      </c>
      <c r="B517">
        <v>1731</v>
      </c>
      <c r="C517" s="11">
        <v>1765.619999999999</v>
      </c>
      <c r="D517" s="11">
        <v>7</v>
      </c>
      <c r="E517" s="11">
        <v>260</v>
      </c>
      <c r="F517" t="s">
        <v>30</v>
      </c>
      <c r="G517">
        <v>10</v>
      </c>
      <c r="I517" t="s">
        <v>30</v>
      </c>
      <c r="J517">
        <v>10</v>
      </c>
      <c r="K517" s="11">
        <v>11968</v>
      </c>
    </row>
    <row r="518" spans="1:11" x14ac:dyDescent="0.3">
      <c r="A518" s="11">
        <v>10396.540000000001</v>
      </c>
      <c r="B518">
        <v>1727</v>
      </c>
      <c r="C518" s="11">
        <v>1761.5400000000009</v>
      </c>
      <c r="D518" s="11">
        <v>7</v>
      </c>
      <c r="E518" s="11">
        <v>260</v>
      </c>
      <c r="F518" t="s">
        <v>30</v>
      </c>
      <c r="G518">
        <v>10</v>
      </c>
      <c r="I518" t="s">
        <v>30</v>
      </c>
      <c r="J518">
        <v>10</v>
      </c>
      <c r="K518" s="11">
        <v>8080</v>
      </c>
    </row>
    <row r="519" spans="1:11" x14ac:dyDescent="0.3">
      <c r="A519" s="11">
        <v>115281.25</v>
      </c>
      <c r="B519">
        <v>1085</v>
      </c>
      <c r="C519" s="11">
        <v>-14918.75</v>
      </c>
      <c r="D519" s="11">
        <v>125</v>
      </c>
      <c r="E519" s="11">
        <v>3</v>
      </c>
      <c r="F519" t="s">
        <v>30</v>
      </c>
      <c r="G519">
        <v>10</v>
      </c>
      <c r="I519" t="s">
        <v>30</v>
      </c>
      <c r="J519">
        <v>10</v>
      </c>
      <c r="K519" s="11">
        <v>1761.5400000000009</v>
      </c>
    </row>
    <row r="520" spans="1:11" x14ac:dyDescent="0.3">
      <c r="A520" s="11">
        <v>139230</v>
      </c>
      <c r="B520">
        <v>546</v>
      </c>
      <c r="C520" s="11">
        <v>2730</v>
      </c>
      <c r="D520" s="11">
        <v>300</v>
      </c>
      <c r="E520" s="11">
        <v>5</v>
      </c>
      <c r="F520" t="s">
        <v>30</v>
      </c>
      <c r="G520">
        <v>10</v>
      </c>
      <c r="I520" t="s">
        <v>30</v>
      </c>
      <c r="J520">
        <v>10</v>
      </c>
      <c r="K520" s="11">
        <v>5054.7000000000007</v>
      </c>
    </row>
    <row r="521" spans="1:11" x14ac:dyDescent="0.3">
      <c r="A521" s="11">
        <v>4539</v>
      </c>
      <c r="B521">
        <v>267</v>
      </c>
      <c r="C521" s="11">
        <v>1869</v>
      </c>
      <c r="D521" s="11">
        <v>20</v>
      </c>
      <c r="E521" s="11">
        <v>10</v>
      </c>
      <c r="F521" t="s">
        <v>30</v>
      </c>
      <c r="G521">
        <v>10</v>
      </c>
      <c r="I521" t="s">
        <v>30</v>
      </c>
      <c r="J521">
        <v>10</v>
      </c>
      <c r="K521" s="11">
        <v>21330.48</v>
      </c>
    </row>
    <row r="522" spans="1:11" x14ac:dyDescent="0.3">
      <c r="A522" s="11">
        <v>115281.25</v>
      </c>
      <c r="B522">
        <v>1085</v>
      </c>
      <c r="C522" s="11">
        <v>-14918.75</v>
      </c>
      <c r="D522" s="11">
        <v>125</v>
      </c>
      <c r="E522" s="11">
        <v>10</v>
      </c>
      <c r="F522" t="s">
        <v>30</v>
      </c>
      <c r="G522">
        <v>10</v>
      </c>
      <c r="I522" t="s">
        <v>30</v>
      </c>
      <c r="J522">
        <v>10</v>
      </c>
      <c r="K522" s="11">
        <v>1765.619999999999</v>
      </c>
    </row>
    <row r="523" spans="1:11" x14ac:dyDescent="0.3">
      <c r="A523" s="11">
        <v>14981.25</v>
      </c>
      <c r="B523">
        <v>1175</v>
      </c>
      <c r="C523" s="11">
        <v>3231.25</v>
      </c>
      <c r="D523" s="11">
        <v>15</v>
      </c>
      <c r="E523" s="11">
        <v>10</v>
      </c>
      <c r="F523" t="s">
        <v>30</v>
      </c>
      <c r="G523">
        <v>10</v>
      </c>
      <c r="I523" t="s">
        <v>30</v>
      </c>
      <c r="J523">
        <v>10</v>
      </c>
      <c r="K523" s="11">
        <v>2152</v>
      </c>
    </row>
    <row r="524" spans="1:11" x14ac:dyDescent="0.3">
      <c r="A524" s="11">
        <v>4539</v>
      </c>
      <c r="B524">
        <v>267</v>
      </c>
      <c r="C524" s="11">
        <v>1869</v>
      </c>
      <c r="D524" s="11">
        <v>20</v>
      </c>
      <c r="E524" s="11">
        <v>250</v>
      </c>
      <c r="F524" t="s">
        <v>30</v>
      </c>
      <c r="G524">
        <v>10</v>
      </c>
      <c r="I524" t="s">
        <v>30</v>
      </c>
      <c r="J524">
        <v>10</v>
      </c>
      <c r="K524" s="11">
        <v>2152</v>
      </c>
    </row>
    <row r="525" spans="1:11" x14ac:dyDescent="0.3">
      <c r="A525" s="11">
        <v>14981.25</v>
      </c>
      <c r="B525">
        <v>1175</v>
      </c>
      <c r="C525" s="11">
        <v>3231.25</v>
      </c>
      <c r="D525" s="11">
        <v>15</v>
      </c>
      <c r="E525" s="11">
        <v>250</v>
      </c>
      <c r="F525" t="s">
        <v>30</v>
      </c>
      <c r="G525">
        <v>10</v>
      </c>
      <c r="I525" t="s">
        <v>30</v>
      </c>
      <c r="J525">
        <v>10</v>
      </c>
      <c r="K525" s="11">
        <v>11968</v>
      </c>
    </row>
    <row r="526" spans="1:11" x14ac:dyDescent="0.3">
      <c r="A526" s="11">
        <v>139230</v>
      </c>
      <c r="B526">
        <v>546</v>
      </c>
      <c r="C526" s="11">
        <v>2730</v>
      </c>
      <c r="D526" s="11">
        <v>300</v>
      </c>
      <c r="E526" s="11">
        <v>260</v>
      </c>
      <c r="F526" t="s">
        <v>30</v>
      </c>
      <c r="G526">
        <v>10</v>
      </c>
      <c r="I526" t="s">
        <v>30</v>
      </c>
      <c r="J526">
        <v>10</v>
      </c>
      <c r="K526" s="11">
        <v>8080</v>
      </c>
    </row>
    <row r="527" spans="1:11" x14ac:dyDescent="0.3">
      <c r="A527" s="11">
        <v>603750</v>
      </c>
      <c r="B527">
        <v>1725</v>
      </c>
      <c r="C527" s="11">
        <v>155250</v>
      </c>
      <c r="D527" s="11">
        <v>350</v>
      </c>
      <c r="E527" s="11">
        <v>10</v>
      </c>
      <c r="F527" t="s">
        <v>31</v>
      </c>
      <c r="G527">
        <v>11</v>
      </c>
      <c r="I527" t="s">
        <v>30</v>
      </c>
      <c r="J527">
        <v>10</v>
      </c>
      <c r="K527" s="11">
        <v>5054.7000000000007</v>
      </c>
    </row>
    <row r="528" spans="1:11" x14ac:dyDescent="0.3">
      <c r="A528" s="11">
        <v>10944</v>
      </c>
      <c r="B528">
        <v>912</v>
      </c>
      <c r="C528" s="11">
        <v>8208</v>
      </c>
      <c r="D528" s="11">
        <v>12</v>
      </c>
      <c r="E528" s="11">
        <v>10</v>
      </c>
      <c r="F528" t="s">
        <v>31</v>
      </c>
      <c r="G528">
        <v>11</v>
      </c>
      <c r="I528" t="s">
        <v>30</v>
      </c>
      <c r="J528">
        <v>10</v>
      </c>
      <c r="K528" s="11">
        <v>21330.48</v>
      </c>
    </row>
    <row r="529" spans="1:11" x14ac:dyDescent="0.3">
      <c r="A529" s="11">
        <v>4428.2700000000004</v>
      </c>
      <c r="B529">
        <v>639</v>
      </c>
      <c r="C529" s="11">
        <v>1233.2700000000004</v>
      </c>
      <c r="D529" s="11">
        <v>7</v>
      </c>
      <c r="E529" s="11">
        <v>120</v>
      </c>
      <c r="F529" t="s">
        <v>31</v>
      </c>
      <c r="G529">
        <v>11</v>
      </c>
      <c r="I529" t="s">
        <v>30</v>
      </c>
      <c r="J529">
        <v>10</v>
      </c>
      <c r="K529" s="11">
        <v>1765.619999999999</v>
      </c>
    </row>
    <row r="530" spans="1:11" x14ac:dyDescent="0.3">
      <c r="A530" s="11">
        <v>862785</v>
      </c>
      <c r="B530">
        <v>2905</v>
      </c>
      <c r="C530" s="11">
        <v>136535</v>
      </c>
      <c r="D530" s="11">
        <v>300</v>
      </c>
      <c r="E530" s="11">
        <v>10</v>
      </c>
      <c r="F530" t="s">
        <v>31</v>
      </c>
      <c r="G530">
        <v>11</v>
      </c>
      <c r="I530" t="s">
        <v>30</v>
      </c>
      <c r="J530">
        <v>10</v>
      </c>
      <c r="K530" s="11">
        <v>1761.5400000000009</v>
      </c>
    </row>
    <row r="531" spans="1:11" x14ac:dyDescent="0.3">
      <c r="A531" s="11">
        <v>14497.56</v>
      </c>
      <c r="B531">
        <v>2092</v>
      </c>
      <c r="C531" s="11">
        <v>4037.5599999999995</v>
      </c>
      <c r="D531" s="11">
        <v>7</v>
      </c>
      <c r="E531" s="11">
        <v>120</v>
      </c>
      <c r="F531" t="s">
        <v>31</v>
      </c>
      <c r="G531">
        <v>11</v>
      </c>
      <c r="I531" t="s">
        <v>30</v>
      </c>
      <c r="J531">
        <v>10</v>
      </c>
      <c r="K531" s="11">
        <v>-14918.75</v>
      </c>
    </row>
    <row r="532" spans="1:11" x14ac:dyDescent="0.3">
      <c r="A532" s="11">
        <v>215820</v>
      </c>
      <c r="B532">
        <v>1744</v>
      </c>
      <c r="C532" s="11">
        <v>6540</v>
      </c>
      <c r="D532" s="11">
        <v>125</v>
      </c>
      <c r="E532" s="11">
        <v>250</v>
      </c>
      <c r="F532" t="s">
        <v>31</v>
      </c>
      <c r="G532">
        <v>11</v>
      </c>
      <c r="I532" t="s">
        <v>30</v>
      </c>
      <c r="J532">
        <v>10</v>
      </c>
      <c r="K532" s="11">
        <v>2730</v>
      </c>
    </row>
    <row r="533" spans="1:11" x14ac:dyDescent="0.3">
      <c r="A533" s="11">
        <v>4766.8500000000004</v>
      </c>
      <c r="B533">
        <v>321</v>
      </c>
      <c r="C533" s="11">
        <v>1556.8500000000004</v>
      </c>
      <c r="D533" s="11">
        <v>15</v>
      </c>
      <c r="E533" s="11">
        <v>260</v>
      </c>
      <c r="F533" t="s">
        <v>31</v>
      </c>
      <c r="G533">
        <v>11</v>
      </c>
      <c r="I533" t="s">
        <v>30</v>
      </c>
      <c r="J533">
        <v>10</v>
      </c>
      <c r="K533" s="11">
        <v>1869</v>
      </c>
    </row>
    <row r="534" spans="1:11" x14ac:dyDescent="0.3">
      <c r="A534" s="11">
        <v>14714.7</v>
      </c>
      <c r="B534">
        <v>2145</v>
      </c>
      <c r="C534" s="11">
        <v>3989.7000000000007</v>
      </c>
      <c r="D534" s="11">
        <v>7</v>
      </c>
      <c r="E534" s="11">
        <v>3</v>
      </c>
      <c r="F534" t="s">
        <v>31</v>
      </c>
      <c r="G534">
        <v>11</v>
      </c>
      <c r="I534" t="s">
        <v>30</v>
      </c>
      <c r="J534">
        <v>10</v>
      </c>
      <c r="K534" s="11">
        <v>-14918.75</v>
      </c>
    </row>
    <row r="535" spans="1:11" x14ac:dyDescent="0.3">
      <c r="A535" s="11">
        <v>8114.4</v>
      </c>
      <c r="B535">
        <v>690</v>
      </c>
      <c r="C535" s="11">
        <v>6044.4</v>
      </c>
      <c r="D535" s="11">
        <v>12</v>
      </c>
      <c r="E535" s="11">
        <v>5</v>
      </c>
      <c r="F535" t="s">
        <v>31</v>
      </c>
      <c r="G535">
        <v>11</v>
      </c>
      <c r="I535" t="s">
        <v>30</v>
      </c>
      <c r="J535">
        <v>10</v>
      </c>
      <c r="K535" s="11">
        <v>3231.25</v>
      </c>
    </row>
    <row r="536" spans="1:11" x14ac:dyDescent="0.3">
      <c r="A536" s="11">
        <v>203350</v>
      </c>
      <c r="B536">
        <v>1660</v>
      </c>
      <c r="C536" s="11">
        <v>4150</v>
      </c>
      <c r="D536" s="11">
        <v>125</v>
      </c>
      <c r="E536" s="11">
        <v>5</v>
      </c>
      <c r="F536" t="s">
        <v>31</v>
      </c>
      <c r="G536">
        <v>11</v>
      </c>
      <c r="I536" t="s">
        <v>30</v>
      </c>
      <c r="J536">
        <v>10</v>
      </c>
      <c r="K536" s="11">
        <v>1869</v>
      </c>
    </row>
    <row r="537" spans="1:11" x14ac:dyDescent="0.3">
      <c r="A537" s="11">
        <v>20991.599999999999</v>
      </c>
      <c r="B537">
        <v>1785</v>
      </c>
      <c r="C537" s="11">
        <v>15636.599999999999</v>
      </c>
      <c r="D537" s="11">
        <v>12</v>
      </c>
      <c r="E537" s="11">
        <v>10</v>
      </c>
      <c r="F537" t="s">
        <v>31</v>
      </c>
      <c r="G537">
        <v>11</v>
      </c>
      <c r="I537" t="s">
        <v>30</v>
      </c>
      <c r="J537">
        <v>10</v>
      </c>
      <c r="K537" s="11">
        <v>3231.25</v>
      </c>
    </row>
    <row r="538" spans="1:11" x14ac:dyDescent="0.3">
      <c r="A538" s="11">
        <v>24225.599999999999</v>
      </c>
      <c r="B538">
        <v>1236</v>
      </c>
      <c r="C538" s="11">
        <v>11865.599999999999</v>
      </c>
      <c r="D538" s="11">
        <v>20</v>
      </c>
      <c r="E538" s="11">
        <v>260</v>
      </c>
      <c r="F538" t="s">
        <v>31</v>
      </c>
      <c r="G538">
        <v>11</v>
      </c>
      <c r="I538" t="s">
        <v>30</v>
      </c>
      <c r="J538">
        <v>10</v>
      </c>
      <c r="K538" s="11">
        <v>2730</v>
      </c>
    </row>
    <row r="539" spans="1:11" x14ac:dyDescent="0.3">
      <c r="A539" s="11">
        <v>18443.599999999999</v>
      </c>
      <c r="B539">
        <v>941</v>
      </c>
      <c r="C539" s="11">
        <v>9033.5999999999985</v>
      </c>
      <c r="D539" s="11">
        <v>20</v>
      </c>
      <c r="E539" s="11">
        <v>260</v>
      </c>
      <c r="F539" t="s">
        <v>31</v>
      </c>
      <c r="G539">
        <v>11</v>
      </c>
      <c r="I539" t="s">
        <v>31</v>
      </c>
      <c r="J539">
        <v>11</v>
      </c>
      <c r="K539" s="11">
        <v>155250</v>
      </c>
    </row>
    <row r="540" spans="1:11" x14ac:dyDescent="0.3">
      <c r="A540" s="11">
        <v>6756.4</v>
      </c>
      <c r="B540">
        <v>1016</v>
      </c>
      <c r="C540" s="11">
        <v>1676.3999999999996</v>
      </c>
      <c r="D540" s="11">
        <v>7</v>
      </c>
      <c r="E540" s="11">
        <v>3</v>
      </c>
      <c r="F540" t="s">
        <v>31</v>
      </c>
      <c r="G540">
        <v>11</v>
      </c>
      <c r="I540" t="s">
        <v>31</v>
      </c>
      <c r="J540">
        <v>11</v>
      </c>
      <c r="K540" s="11">
        <v>8208</v>
      </c>
    </row>
    <row r="541" spans="1:11" x14ac:dyDescent="0.3">
      <c r="A541" s="11">
        <v>39771.75</v>
      </c>
      <c r="B541">
        <v>2791</v>
      </c>
      <c r="C541" s="11">
        <v>11861.75</v>
      </c>
      <c r="D541" s="11">
        <v>15</v>
      </c>
      <c r="E541" s="11">
        <v>3</v>
      </c>
      <c r="F541" t="s">
        <v>31</v>
      </c>
      <c r="G541">
        <v>11</v>
      </c>
      <c r="I541" t="s">
        <v>31</v>
      </c>
      <c r="J541">
        <v>11</v>
      </c>
      <c r="K541" s="11">
        <v>1233.2700000000004</v>
      </c>
    </row>
    <row r="542" spans="1:11" x14ac:dyDescent="0.3">
      <c r="A542" s="11">
        <v>26698.799999999999</v>
      </c>
      <c r="B542">
        <v>2342</v>
      </c>
      <c r="C542" s="11">
        <v>19672.8</v>
      </c>
      <c r="D542" s="11">
        <v>12</v>
      </c>
      <c r="E542" s="11">
        <v>5</v>
      </c>
      <c r="F542" t="s">
        <v>31</v>
      </c>
      <c r="G542">
        <v>11</v>
      </c>
      <c r="I542" t="s">
        <v>31</v>
      </c>
      <c r="J542">
        <v>11</v>
      </c>
      <c r="K542" s="11">
        <v>136535</v>
      </c>
    </row>
    <row r="543" spans="1:11" x14ac:dyDescent="0.3">
      <c r="A543" s="11">
        <v>24035</v>
      </c>
      <c r="B543">
        <v>1265</v>
      </c>
      <c r="C543" s="11">
        <v>11385</v>
      </c>
      <c r="D543" s="11">
        <v>20</v>
      </c>
      <c r="E543" s="11">
        <v>250</v>
      </c>
      <c r="F543" t="s">
        <v>31</v>
      </c>
      <c r="G543">
        <v>11</v>
      </c>
      <c r="I543" t="s">
        <v>31</v>
      </c>
      <c r="J543">
        <v>11</v>
      </c>
      <c r="K543" s="11">
        <v>4037.5599999999995</v>
      </c>
    </row>
    <row r="544" spans="1:11" x14ac:dyDescent="0.3">
      <c r="A544" s="11">
        <v>43643</v>
      </c>
      <c r="B544">
        <v>2297</v>
      </c>
      <c r="C544" s="11">
        <v>20673</v>
      </c>
      <c r="D544" s="11">
        <v>20</v>
      </c>
      <c r="E544" s="11">
        <v>250</v>
      </c>
      <c r="F544" t="s">
        <v>31</v>
      </c>
      <c r="G544">
        <v>11</v>
      </c>
      <c r="I544" t="s">
        <v>31</v>
      </c>
      <c r="J544">
        <v>11</v>
      </c>
      <c r="K544" s="11">
        <v>6540</v>
      </c>
    </row>
    <row r="545" spans="1:11" x14ac:dyDescent="0.3">
      <c r="A545" s="11">
        <v>28623</v>
      </c>
      <c r="B545">
        <v>2030</v>
      </c>
      <c r="C545" s="11">
        <v>8323</v>
      </c>
      <c r="D545" s="11">
        <v>15</v>
      </c>
      <c r="E545" s="11">
        <v>3</v>
      </c>
      <c r="F545" t="s">
        <v>31</v>
      </c>
      <c r="G545">
        <v>11</v>
      </c>
      <c r="I545" t="s">
        <v>31</v>
      </c>
      <c r="J545">
        <v>11</v>
      </c>
      <c r="K545" s="11">
        <v>1556.8500000000004</v>
      </c>
    </row>
    <row r="546" spans="1:11" x14ac:dyDescent="0.3">
      <c r="A546" s="11">
        <v>1730.54</v>
      </c>
      <c r="B546">
        <v>263</v>
      </c>
      <c r="C546" s="11">
        <v>415.53999999999996</v>
      </c>
      <c r="D546" s="11">
        <v>7</v>
      </c>
      <c r="E546" s="11">
        <v>3</v>
      </c>
      <c r="F546" t="s">
        <v>31</v>
      </c>
      <c r="G546">
        <v>11</v>
      </c>
      <c r="I546" t="s">
        <v>31</v>
      </c>
      <c r="J546">
        <v>11</v>
      </c>
      <c r="K546" s="11">
        <v>3989.7000000000007</v>
      </c>
    </row>
    <row r="547" spans="1:11" x14ac:dyDescent="0.3">
      <c r="A547" s="11">
        <v>30715.439999999999</v>
      </c>
      <c r="B547">
        <v>2723</v>
      </c>
      <c r="C547" s="11">
        <v>22546.44</v>
      </c>
      <c r="D547" s="11">
        <v>12</v>
      </c>
      <c r="E547" s="11">
        <v>5</v>
      </c>
      <c r="F547" t="s">
        <v>31</v>
      </c>
      <c r="G547">
        <v>11</v>
      </c>
      <c r="I547" t="s">
        <v>31</v>
      </c>
      <c r="J547">
        <v>11</v>
      </c>
      <c r="K547" s="11">
        <v>6044.4</v>
      </c>
    </row>
    <row r="548" spans="1:11" x14ac:dyDescent="0.3">
      <c r="A548" s="11">
        <v>21112.400000000001</v>
      </c>
      <c r="B548">
        <v>1123</v>
      </c>
      <c r="C548" s="11">
        <v>9882.4000000000015</v>
      </c>
      <c r="D548" s="11">
        <v>20</v>
      </c>
      <c r="E548" s="11">
        <v>250</v>
      </c>
      <c r="F548" t="s">
        <v>31</v>
      </c>
      <c r="G548">
        <v>11</v>
      </c>
      <c r="I548" t="s">
        <v>31</v>
      </c>
      <c r="J548">
        <v>11</v>
      </c>
      <c r="K548" s="11">
        <v>4150</v>
      </c>
    </row>
    <row r="549" spans="1:11" x14ac:dyDescent="0.3">
      <c r="A549" s="11">
        <v>8771.14</v>
      </c>
      <c r="B549">
        <v>1333</v>
      </c>
      <c r="C549" s="11">
        <v>2106.1399999999994</v>
      </c>
      <c r="D549" s="11">
        <v>7</v>
      </c>
      <c r="E549" s="11">
        <v>120</v>
      </c>
      <c r="F549" t="s">
        <v>31</v>
      </c>
      <c r="G549">
        <v>11</v>
      </c>
      <c r="I549" t="s">
        <v>31</v>
      </c>
      <c r="J549">
        <v>11</v>
      </c>
      <c r="K549" s="11">
        <v>15636.599999999999</v>
      </c>
    </row>
    <row r="550" spans="1:11" x14ac:dyDescent="0.3">
      <c r="A550" s="11">
        <v>26136.720000000001</v>
      </c>
      <c r="B550">
        <v>2342</v>
      </c>
      <c r="C550" s="11">
        <v>19110.72</v>
      </c>
      <c r="D550" s="11">
        <v>12</v>
      </c>
      <c r="E550" s="11">
        <v>5</v>
      </c>
      <c r="F550" t="s">
        <v>31</v>
      </c>
      <c r="G550">
        <v>11</v>
      </c>
      <c r="I550" t="s">
        <v>31</v>
      </c>
      <c r="J550">
        <v>11</v>
      </c>
      <c r="K550" s="11">
        <v>11865.599999999999</v>
      </c>
    </row>
    <row r="551" spans="1:11" x14ac:dyDescent="0.3">
      <c r="A551" s="11">
        <v>3560.9700000000003</v>
      </c>
      <c r="B551">
        <v>547</v>
      </c>
      <c r="C551" s="11">
        <v>825.97000000000025</v>
      </c>
      <c r="D551" s="11">
        <v>7</v>
      </c>
      <c r="E551" s="11">
        <v>120</v>
      </c>
      <c r="F551" t="s">
        <v>31</v>
      </c>
      <c r="G551">
        <v>11</v>
      </c>
      <c r="I551" t="s">
        <v>31</v>
      </c>
      <c r="J551">
        <v>11</v>
      </c>
      <c r="K551" s="11">
        <v>9033.5999999999985</v>
      </c>
    </row>
    <row r="552" spans="1:11" x14ac:dyDescent="0.3">
      <c r="A552" s="11">
        <v>290625</v>
      </c>
      <c r="B552">
        <v>2500</v>
      </c>
      <c r="C552" s="11">
        <v>-9375</v>
      </c>
      <c r="D552" s="11">
        <v>125</v>
      </c>
      <c r="E552" s="11">
        <v>5</v>
      </c>
      <c r="F552" t="s">
        <v>31</v>
      </c>
      <c r="G552">
        <v>11</v>
      </c>
      <c r="I552" t="s">
        <v>31</v>
      </c>
      <c r="J552">
        <v>11</v>
      </c>
      <c r="K552" s="11">
        <v>1676.3999999999996</v>
      </c>
    </row>
    <row r="553" spans="1:11" x14ac:dyDescent="0.3">
      <c r="A553" s="11">
        <v>391716</v>
      </c>
      <c r="B553">
        <v>1404</v>
      </c>
      <c r="C553" s="11">
        <v>40716</v>
      </c>
      <c r="D553" s="11">
        <v>300</v>
      </c>
      <c r="E553" s="11">
        <v>10</v>
      </c>
      <c r="F553" t="s">
        <v>31</v>
      </c>
      <c r="G553">
        <v>11</v>
      </c>
      <c r="I553" t="s">
        <v>31</v>
      </c>
      <c r="J553">
        <v>11</v>
      </c>
      <c r="K553" s="11">
        <v>11861.75</v>
      </c>
    </row>
    <row r="554" spans="1:11" x14ac:dyDescent="0.3">
      <c r="A554" s="11">
        <v>30835.08</v>
      </c>
      <c r="B554">
        <v>2763</v>
      </c>
      <c r="C554" s="11">
        <v>22546.080000000002</v>
      </c>
      <c r="D554" s="11">
        <v>12</v>
      </c>
      <c r="E554" s="11">
        <v>10</v>
      </c>
      <c r="F554" t="s">
        <v>31</v>
      </c>
      <c r="G554">
        <v>11</v>
      </c>
      <c r="I554" t="s">
        <v>31</v>
      </c>
      <c r="J554">
        <v>11</v>
      </c>
      <c r="K554" s="11">
        <v>19672.8</v>
      </c>
    </row>
    <row r="555" spans="1:11" x14ac:dyDescent="0.3">
      <c r="A555" s="11">
        <v>20794.8</v>
      </c>
      <c r="B555">
        <v>1118</v>
      </c>
      <c r="C555" s="11">
        <v>9614.7999999999993</v>
      </c>
      <c r="D555" s="11">
        <v>20</v>
      </c>
      <c r="E555" s="11">
        <v>260</v>
      </c>
      <c r="F555" t="s">
        <v>31</v>
      </c>
      <c r="G555">
        <v>11</v>
      </c>
      <c r="I555" t="s">
        <v>31</v>
      </c>
      <c r="J555">
        <v>11</v>
      </c>
      <c r="K555" s="11">
        <v>11385</v>
      </c>
    </row>
    <row r="556" spans="1:11" x14ac:dyDescent="0.3">
      <c r="A556" s="11">
        <v>6762</v>
      </c>
      <c r="B556">
        <v>490</v>
      </c>
      <c r="C556" s="11">
        <v>1862</v>
      </c>
      <c r="D556" s="11">
        <v>15</v>
      </c>
      <c r="E556" s="11">
        <v>3</v>
      </c>
      <c r="F556" t="s">
        <v>31</v>
      </c>
      <c r="G556">
        <v>11</v>
      </c>
      <c r="I556" t="s">
        <v>31</v>
      </c>
      <c r="J556">
        <v>11</v>
      </c>
      <c r="K556" s="11">
        <v>20673</v>
      </c>
    </row>
    <row r="557" spans="1:11" x14ac:dyDescent="0.3">
      <c r="A557" s="11">
        <v>691012</v>
      </c>
      <c r="B557">
        <v>2146</v>
      </c>
      <c r="C557" s="11">
        <v>133052</v>
      </c>
      <c r="D557" s="11">
        <v>350</v>
      </c>
      <c r="E557" s="11">
        <v>10</v>
      </c>
      <c r="F557" t="s">
        <v>31</v>
      </c>
      <c r="G557">
        <v>11</v>
      </c>
      <c r="I557" t="s">
        <v>31</v>
      </c>
      <c r="J557">
        <v>11</v>
      </c>
      <c r="K557" s="11">
        <v>8323</v>
      </c>
    </row>
    <row r="558" spans="1:11" x14ac:dyDescent="0.3">
      <c r="A558" s="11">
        <v>106536</v>
      </c>
      <c r="B558">
        <v>386</v>
      </c>
      <c r="C558" s="11">
        <v>10036</v>
      </c>
      <c r="D558" s="11">
        <v>300</v>
      </c>
      <c r="E558" s="11">
        <v>120</v>
      </c>
      <c r="F558" t="s">
        <v>31</v>
      </c>
      <c r="G558">
        <v>11</v>
      </c>
      <c r="I558" t="s">
        <v>31</v>
      </c>
      <c r="J558">
        <v>11</v>
      </c>
      <c r="K558" s="11">
        <v>415.53999999999996</v>
      </c>
    </row>
    <row r="559" spans="1:11" x14ac:dyDescent="0.3">
      <c r="A559" s="11">
        <v>27968</v>
      </c>
      <c r="B559">
        <v>1520</v>
      </c>
      <c r="C559" s="11">
        <v>12768</v>
      </c>
      <c r="D559" s="11">
        <v>20</v>
      </c>
      <c r="E559" s="11">
        <v>260</v>
      </c>
      <c r="F559" t="s">
        <v>31</v>
      </c>
      <c r="G559">
        <v>11</v>
      </c>
      <c r="I559" t="s">
        <v>31</v>
      </c>
      <c r="J559">
        <v>11</v>
      </c>
      <c r="K559" s="11">
        <v>22546.44</v>
      </c>
    </row>
    <row r="560" spans="1:11" x14ac:dyDescent="0.3">
      <c r="A560" s="11">
        <v>25345.32</v>
      </c>
      <c r="B560">
        <v>2321</v>
      </c>
      <c r="C560" s="11">
        <v>18382.32</v>
      </c>
      <c r="D560" s="11">
        <v>12</v>
      </c>
      <c r="E560" s="11">
        <v>5</v>
      </c>
      <c r="F560" t="s">
        <v>31</v>
      </c>
      <c r="G560">
        <v>11</v>
      </c>
      <c r="I560" t="s">
        <v>31</v>
      </c>
      <c r="J560">
        <v>11</v>
      </c>
      <c r="K560" s="11">
        <v>9882.4000000000015</v>
      </c>
    </row>
    <row r="561" spans="1:11" x14ac:dyDescent="0.3">
      <c r="A561" s="11">
        <v>211233.75</v>
      </c>
      <c r="B561">
        <v>1857</v>
      </c>
      <c r="C561" s="11">
        <v>-11606.25</v>
      </c>
      <c r="D561" s="11">
        <v>125</v>
      </c>
      <c r="E561" s="11">
        <v>5</v>
      </c>
      <c r="F561" t="s">
        <v>31</v>
      </c>
      <c r="G561">
        <v>11</v>
      </c>
      <c r="I561" t="s">
        <v>31</v>
      </c>
      <c r="J561">
        <v>11</v>
      </c>
      <c r="K561" s="11">
        <v>2106.1399999999994</v>
      </c>
    </row>
    <row r="562" spans="1:11" x14ac:dyDescent="0.3">
      <c r="A562" s="11">
        <v>361452</v>
      </c>
      <c r="B562">
        <v>1324</v>
      </c>
      <c r="C562" s="11">
        <v>30452</v>
      </c>
      <c r="D562" s="11">
        <v>300</v>
      </c>
      <c r="E562" s="11">
        <v>10</v>
      </c>
      <c r="F562" t="s">
        <v>31</v>
      </c>
      <c r="G562">
        <v>11</v>
      </c>
      <c r="I562" t="s">
        <v>31</v>
      </c>
      <c r="J562">
        <v>11</v>
      </c>
      <c r="K562" s="11">
        <v>19110.72</v>
      </c>
    </row>
    <row r="563" spans="1:11" x14ac:dyDescent="0.3">
      <c r="A563" s="11">
        <v>19383</v>
      </c>
      <c r="B563">
        <v>1775</v>
      </c>
      <c r="C563" s="11">
        <v>14058</v>
      </c>
      <c r="D563" s="11">
        <v>12</v>
      </c>
      <c r="E563" s="11">
        <v>10</v>
      </c>
      <c r="F563" t="s">
        <v>31</v>
      </c>
      <c r="G563">
        <v>11</v>
      </c>
      <c r="I563" t="s">
        <v>31</v>
      </c>
      <c r="J563">
        <v>11</v>
      </c>
      <c r="K563" s="11">
        <v>825.97000000000025</v>
      </c>
    </row>
    <row r="564" spans="1:11" x14ac:dyDescent="0.3">
      <c r="A564" s="11">
        <v>99758.75</v>
      </c>
      <c r="B564">
        <v>877</v>
      </c>
      <c r="C564" s="11">
        <v>-5481.25</v>
      </c>
      <c r="D564" s="11">
        <v>125</v>
      </c>
      <c r="E564" s="11">
        <v>250</v>
      </c>
      <c r="F564" t="s">
        <v>31</v>
      </c>
      <c r="G564">
        <v>11</v>
      </c>
      <c r="I564" t="s">
        <v>31</v>
      </c>
      <c r="J564">
        <v>11</v>
      </c>
      <c r="K564" s="11">
        <v>-9375</v>
      </c>
    </row>
    <row r="565" spans="1:11" x14ac:dyDescent="0.3">
      <c r="A565" s="11">
        <v>13240.5</v>
      </c>
      <c r="B565">
        <v>970</v>
      </c>
      <c r="C565" s="11">
        <v>3540.5</v>
      </c>
      <c r="D565" s="11">
        <v>15</v>
      </c>
      <c r="E565" s="11">
        <v>260</v>
      </c>
      <c r="F565" t="s">
        <v>31</v>
      </c>
      <c r="G565">
        <v>11</v>
      </c>
      <c r="I565" t="s">
        <v>31</v>
      </c>
      <c r="J565">
        <v>11</v>
      </c>
      <c r="K565" s="11">
        <v>40716</v>
      </c>
    </row>
    <row r="566" spans="1:11" x14ac:dyDescent="0.3">
      <c r="A566" s="11">
        <v>30830.799999999999</v>
      </c>
      <c r="B566">
        <v>1694</v>
      </c>
      <c r="C566" s="11">
        <v>13890.8</v>
      </c>
      <c r="D566" s="11">
        <v>20</v>
      </c>
      <c r="E566" s="11">
        <v>260</v>
      </c>
      <c r="F566" t="s">
        <v>31</v>
      </c>
      <c r="G566">
        <v>11</v>
      </c>
      <c r="I566" t="s">
        <v>31</v>
      </c>
      <c r="J566">
        <v>11</v>
      </c>
      <c r="K566" s="11">
        <v>22546.080000000002</v>
      </c>
    </row>
    <row r="567" spans="1:11" x14ac:dyDescent="0.3">
      <c r="A567" s="11">
        <v>48812.4</v>
      </c>
      <c r="B567">
        <v>2682</v>
      </c>
      <c r="C567" s="11">
        <v>21992.400000000001</v>
      </c>
      <c r="D567" s="11">
        <v>20</v>
      </c>
      <c r="E567" s="11">
        <v>250</v>
      </c>
      <c r="F567" t="s">
        <v>31</v>
      </c>
      <c r="G567">
        <v>11</v>
      </c>
      <c r="I567" t="s">
        <v>31</v>
      </c>
      <c r="J567">
        <v>11</v>
      </c>
      <c r="K567" s="11">
        <v>9614.7999999999993</v>
      </c>
    </row>
    <row r="568" spans="1:11" x14ac:dyDescent="0.3">
      <c r="A568" s="11">
        <v>202950</v>
      </c>
      <c r="B568">
        <v>1804</v>
      </c>
      <c r="C568" s="11">
        <v>-13530</v>
      </c>
      <c r="D568" s="11">
        <v>125</v>
      </c>
      <c r="E568" s="11">
        <v>5</v>
      </c>
      <c r="F568" t="s">
        <v>31</v>
      </c>
      <c r="G568">
        <v>11</v>
      </c>
      <c r="I568" t="s">
        <v>31</v>
      </c>
      <c r="J568">
        <v>11</v>
      </c>
      <c r="K568" s="11">
        <v>1862</v>
      </c>
    </row>
    <row r="569" spans="1:11" x14ac:dyDescent="0.3">
      <c r="A569" s="11">
        <v>16789.5</v>
      </c>
      <c r="B569">
        <v>2665</v>
      </c>
      <c r="C569" s="11">
        <v>3464.5</v>
      </c>
      <c r="D569" s="11">
        <v>7</v>
      </c>
      <c r="E569" s="11">
        <v>120</v>
      </c>
      <c r="F569" t="s">
        <v>31</v>
      </c>
      <c r="G569">
        <v>11</v>
      </c>
      <c r="I569" t="s">
        <v>31</v>
      </c>
      <c r="J569">
        <v>11</v>
      </c>
      <c r="K569" s="11">
        <v>133052</v>
      </c>
    </row>
    <row r="570" spans="1:11" x14ac:dyDescent="0.3">
      <c r="A570" s="11">
        <v>284512.5</v>
      </c>
      <c r="B570">
        <v>2529</v>
      </c>
      <c r="C570" s="11">
        <v>-18967.5</v>
      </c>
      <c r="D570" s="11">
        <v>125</v>
      </c>
      <c r="E570" s="11">
        <v>250</v>
      </c>
      <c r="F570" t="s">
        <v>31</v>
      </c>
      <c r="G570">
        <v>11</v>
      </c>
      <c r="I570" t="s">
        <v>31</v>
      </c>
      <c r="J570">
        <v>11</v>
      </c>
      <c r="K570" s="11">
        <v>10036</v>
      </c>
    </row>
    <row r="571" spans="1:11" x14ac:dyDescent="0.3">
      <c r="A571" s="11">
        <v>20826</v>
      </c>
      <c r="B571">
        <v>1560</v>
      </c>
      <c r="C571" s="11">
        <v>5226</v>
      </c>
      <c r="D571" s="11">
        <v>15</v>
      </c>
      <c r="E571" s="11">
        <v>3</v>
      </c>
      <c r="F571" t="s">
        <v>31</v>
      </c>
      <c r="G571">
        <v>11</v>
      </c>
      <c r="I571" t="s">
        <v>31</v>
      </c>
      <c r="J571">
        <v>11</v>
      </c>
      <c r="K571" s="11">
        <v>12768</v>
      </c>
    </row>
    <row r="572" spans="1:11" x14ac:dyDescent="0.3">
      <c r="A572" s="11">
        <v>16858.38</v>
      </c>
      <c r="B572">
        <v>2706</v>
      </c>
      <c r="C572" s="11">
        <v>3328.380000000001</v>
      </c>
      <c r="D572" s="11">
        <v>7</v>
      </c>
      <c r="E572" s="11">
        <v>3</v>
      </c>
      <c r="F572" t="s">
        <v>31</v>
      </c>
      <c r="G572">
        <v>11</v>
      </c>
      <c r="I572" t="s">
        <v>31</v>
      </c>
      <c r="J572">
        <v>11</v>
      </c>
      <c r="K572" s="11">
        <v>18382.32</v>
      </c>
    </row>
    <row r="573" spans="1:11" x14ac:dyDescent="0.3">
      <c r="A573" s="11">
        <v>364722</v>
      </c>
      <c r="B573">
        <v>1366</v>
      </c>
      <c r="C573" s="11">
        <v>23222</v>
      </c>
      <c r="D573" s="11">
        <v>300</v>
      </c>
      <c r="E573" s="11">
        <v>10</v>
      </c>
      <c r="F573" t="s">
        <v>31</v>
      </c>
      <c r="G573">
        <v>11</v>
      </c>
      <c r="I573" t="s">
        <v>31</v>
      </c>
      <c r="J573">
        <v>11</v>
      </c>
      <c r="K573" s="11">
        <v>-11606.25</v>
      </c>
    </row>
    <row r="574" spans="1:11" x14ac:dyDescent="0.3">
      <c r="A574" s="11">
        <v>11263.84</v>
      </c>
      <c r="B574">
        <v>1808</v>
      </c>
      <c r="C574" s="11">
        <v>2223.84</v>
      </c>
      <c r="D574" s="11">
        <v>7</v>
      </c>
      <c r="E574" s="11">
        <v>120</v>
      </c>
      <c r="F574" t="s">
        <v>31</v>
      </c>
      <c r="G574">
        <v>11</v>
      </c>
      <c r="I574" t="s">
        <v>31</v>
      </c>
      <c r="J574">
        <v>11</v>
      </c>
      <c r="K574" s="11">
        <v>30452</v>
      </c>
    </row>
    <row r="575" spans="1:11" x14ac:dyDescent="0.3">
      <c r="A575" s="11">
        <v>52243</v>
      </c>
      <c r="B575">
        <v>2935</v>
      </c>
      <c r="C575" s="11">
        <v>22893</v>
      </c>
      <c r="D575" s="11">
        <v>20</v>
      </c>
      <c r="E575" s="11">
        <v>250</v>
      </c>
      <c r="F575" t="s">
        <v>31</v>
      </c>
      <c r="G575">
        <v>11</v>
      </c>
      <c r="I575" t="s">
        <v>31</v>
      </c>
      <c r="J575">
        <v>11</v>
      </c>
      <c r="K575" s="11">
        <v>14058</v>
      </c>
    </row>
    <row r="576" spans="1:11" x14ac:dyDescent="0.3">
      <c r="A576" s="11">
        <v>35494.800000000003</v>
      </c>
      <c r="B576">
        <v>2689</v>
      </c>
      <c r="C576" s="11">
        <v>8604.8000000000029</v>
      </c>
      <c r="D576" s="11">
        <v>15</v>
      </c>
      <c r="E576" s="11">
        <v>3</v>
      </c>
      <c r="F576" t="s">
        <v>31</v>
      </c>
      <c r="G576">
        <v>11</v>
      </c>
      <c r="I576" t="s">
        <v>31</v>
      </c>
      <c r="J576">
        <v>11</v>
      </c>
      <c r="K576" s="11">
        <v>-5481.25</v>
      </c>
    </row>
    <row r="577" spans="1:11" x14ac:dyDescent="0.3">
      <c r="A577" s="11">
        <v>490952</v>
      </c>
      <c r="B577">
        <v>1594</v>
      </c>
      <c r="C577" s="11">
        <v>76512</v>
      </c>
      <c r="D577" s="11">
        <v>350</v>
      </c>
      <c r="E577" s="11">
        <v>10</v>
      </c>
      <c r="F577" t="s">
        <v>31</v>
      </c>
      <c r="G577">
        <v>11</v>
      </c>
      <c r="I577" t="s">
        <v>31</v>
      </c>
      <c r="J577">
        <v>11</v>
      </c>
      <c r="K577" s="11">
        <v>3540.5</v>
      </c>
    </row>
    <row r="578" spans="1:11" x14ac:dyDescent="0.3">
      <c r="A578" s="11">
        <v>358776</v>
      </c>
      <c r="B578">
        <v>1359</v>
      </c>
      <c r="C578" s="11">
        <v>19026</v>
      </c>
      <c r="D578" s="11">
        <v>300</v>
      </c>
      <c r="E578" s="11">
        <v>10</v>
      </c>
      <c r="F578" t="s">
        <v>31</v>
      </c>
      <c r="G578">
        <v>11</v>
      </c>
      <c r="I578" t="s">
        <v>31</v>
      </c>
      <c r="J578">
        <v>11</v>
      </c>
      <c r="K578" s="11">
        <v>13890.8</v>
      </c>
    </row>
    <row r="579" spans="1:11" x14ac:dyDescent="0.3">
      <c r="A579" s="11">
        <v>567600</v>
      </c>
      <c r="B579">
        <v>2150</v>
      </c>
      <c r="C579" s="11">
        <v>30100</v>
      </c>
      <c r="D579" s="11">
        <v>300</v>
      </c>
      <c r="E579" s="11">
        <v>10</v>
      </c>
      <c r="F579" t="s">
        <v>31</v>
      </c>
      <c r="G579">
        <v>11</v>
      </c>
      <c r="I579" t="s">
        <v>31</v>
      </c>
      <c r="J579">
        <v>11</v>
      </c>
      <c r="K579" s="11">
        <v>21992.400000000001</v>
      </c>
    </row>
    <row r="580" spans="1:11" x14ac:dyDescent="0.3">
      <c r="A580" s="11">
        <v>368676</v>
      </c>
      <c r="B580">
        <v>1197</v>
      </c>
      <c r="C580" s="11">
        <v>57456</v>
      </c>
      <c r="D580" s="11">
        <v>350</v>
      </c>
      <c r="E580" s="11">
        <v>10</v>
      </c>
      <c r="F580" t="s">
        <v>31</v>
      </c>
      <c r="G580">
        <v>11</v>
      </c>
      <c r="I580" t="s">
        <v>31</v>
      </c>
      <c r="J580">
        <v>11</v>
      </c>
      <c r="K580" s="11">
        <v>-13530</v>
      </c>
    </row>
    <row r="581" spans="1:11" x14ac:dyDescent="0.3">
      <c r="A581" s="11">
        <v>262570</v>
      </c>
      <c r="B581">
        <v>2387</v>
      </c>
      <c r="C581" s="11">
        <v>-23870</v>
      </c>
      <c r="D581" s="11">
        <v>125</v>
      </c>
      <c r="E581" s="11">
        <v>250</v>
      </c>
      <c r="F581" t="s">
        <v>31</v>
      </c>
      <c r="G581">
        <v>11</v>
      </c>
      <c r="I581" t="s">
        <v>31</v>
      </c>
      <c r="J581">
        <v>11</v>
      </c>
      <c r="K581" s="11">
        <v>3464.5</v>
      </c>
    </row>
    <row r="582" spans="1:11" x14ac:dyDescent="0.3">
      <c r="A582" s="11">
        <v>33633.599999999999</v>
      </c>
      <c r="B582">
        <v>2548</v>
      </c>
      <c r="C582" s="11">
        <v>8153.5999999999985</v>
      </c>
      <c r="D582" s="11">
        <v>15</v>
      </c>
      <c r="E582" s="11">
        <v>260</v>
      </c>
      <c r="F582" t="s">
        <v>31</v>
      </c>
      <c r="G582">
        <v>11</v>
      </c>
      <c r="I582" t="s">
        <v>31</v>
      </c>
      <c r="J582">
        <v>11</v>
      </c>
      <c r="K582" s="11">
        <v>-18967.5</v>
      </c>
    </row>
    <row r="583" spans="1:11" x14ac:dyDescent="0.3">
      <c r="A583" s="11">
        <v>108706.5</v>
      </c>
      <c r="B583">
        <v>357</v>
      </c>
      <c r="C583" s="11">
        <v>15886.5</v>
      </c>
      <c r="D583" s="11">
        <v>350</v>
      </c>
      <c r="E583" s="11">
        <v>10</v>
      </c>
      <c r="F583" t="s">
        <v>31</v>
      </c>
      <c r="G583">
        <v>11</v>
      </c>
      <c r="I583" t="s">
        <v>31</v>
      </c>
      <c r="J583">
        <v>11</v>
      </c>
      <c r="K583" s="11">
        <v>5226</v>
      </c>
    </row>
    <row r="584" spans="1:11" x14ac:dyDescent="0.3">
      <c r="A584" s="11">
        <v>679905</v>
      </c>
      <c r="B584">
        <v>2605</v>
      </c>
      <c r="C584" s="11">
        <v>28655</v>
      </c>
      <c r="D584" s="11">
        <v>300</v>
      </c>
      <c r="E584" s="11">
        <v>120</v>
      </c>
      <c r="F584" t="s">
        <v>31</v>
      </c>
      <c r="G584">
        <v>11</v>
      </c>
      <c r="I584" t="s">
        <v>31</v>
      </c>
      <c r="J584">
        <v>11</v>
      </c>
      <c r="K584" s="11">
        <v>3328.380000000001</v>
      </c>
    </row>
    <row r="585" spans="1:11" x14ac:dyDescent="0.3">
      <c r="A585" s="11">
        <v>19517.7</v>
      </c>
      <c r="B585">
        <v>1513</v>
      </c>
      <c r="C585" s="11">
        <v>4387.7000000000007</v>
      </c>
      <c r="D585" s="11">
        <v>15</v>
      </c>
      <c r="E585" s="11">
        <v>3</v>
      </c>
      <c r="F585" t="s">
        <v>31</v>
      </c>
      <c r="G585">
        <v>11</v>
      </c>
      <c r="I585" t="s">
        <v>31</v>
      </c>
      <c r="J585">
        <v>11</v>
      </c>
      <c r="K585" s="11">
        <v>23222</v>
      </c>
    </row>
    <row r="586" spans="1:11" x14ac:dyDescent="0.3">
      <c r="A586" s="11">
        <v>210700</v>
      </c>
      <c r="B586">
        <v>700</v>
      </c>
      <c r="C586" s="11">
        <v>28700</v>
      </c>
      <c r="D586" s="11">
        <v>350</v>
      </c>
      <c r="E586" s="11">
        <v>10</v>
      </c>
      <c r="F586" t="s">
        <v>31</v>
      </c>
      <c r="G586">
        <v>11</v>
      </c>
      <c r="I586" t="s">
        <v>31</v>
      </c>
      <c r="J586">
        <v>11</v>
      </c>
      <c r="K586" s="11">
        <v>2223.84</v>
      </c>
    </row>
    <row r="587" spans="1:11" x14ac:dyDescent="0.3">
      <c r="A587" s="11">
        <v>22931.040000000001</v>
      </c>
      <c r="B587">
        <v>2222</v>
      </c>
      <c r="C587" s="11">
        <v>16265.04</v>
      </c>
      <c r="D587" s="11">
        <v>12</v>
      </c>
      <c r="E587" s="11">
        <v>10</v>
      </c>
      <c r="F587" t="s">
        <v>31</v>
      </c>
      <c r="G587">
        <v>11</v>
      </c>
      <c r="I587" t="s">
        <v>31</v>
      </c>
      <c r="J587">
        <v>11</v>
      </c>
      <c r="K587" s="11">
        <v>22893</v>
      </c>
    </row>
    <row r="588" spans="1:11" x14ac:dyDescent="0.3">
      <c r="A588" s="11">
        <v>354277</v>
      </c>
      <c r="B588">
        <v>1177</v>
      </c>
      <c r="C588" s="11">
        <v>48257</v>
      </c>
      <c r="D588" s="11">
        <v>350</v>
      </c>
      <c r="E588" s="11">
        <v>10</v>
      </c>
      <c r="F588" t="s">
        <v>31</v>
      </c>
      <c r="G588">
        <v>11</v>
      </c>
      <c r="I588" t="s">
        <v>31</v>
      </c>
      <c r="J588">
        <v>11</v>
      </c>
      <c r="K588" s="11">
        <v>8604.8000000000029</v>
      </c>
    </row>
    <row r="589" spans="1:11" x14ac:dyDescent="0.3">
      <c r="A589" s="11">
        <v>578522</v>
      </c>
      <c r="B589">
        <v>1922</v>
      </c>
      <c r="C589" s="11">
        <v>78802</v>
      </c>
      <c r="D589" s="11">
        <v>350</v>
      </c>
      <c r="E589" s="11">
        <v>10</v>
      </c>
      <c r="F589" t="s">
        <v>31</v>
      </c>
      <c r="G589">
        <v>11</v>
      </c>
      <c r="I589" t="s">
        <v>31</v>
      </c>
      <c r="J589">
        <v>11</v>
      </c>
      <c r="K589" s="11">
        <v>76512</v>
      </c>
    </row>
    <row r="590" spans="1:11" x14ac:dyDescent="0.3">
      <c r="A590" s="11">
        <v>654288</v>
      </c>
      <c r="B590">
        <v>2536</v>
      </c>
      <c r="C590" s="11">
        <v>20288</v>
      </c>
      <c r="D590" s="11">
        <v>300</v>
      </c>
      <c r="E590" s="11">
        <v>120</v>
      </c>
      <c r="F590" t="s">
        <v>31</v>
      </c>
      <c r="G590">
        <v>11</v>
      </c>
      <c r="I590" t="s">
        <v>31</v>
      </c>
      <c r="J590">
        <v>11</v>
      </c>
      <c r="K590" s="11">
        <v>19026</v>
      </c>
    </row>
    <row r="591" spans="1:11" x14ac:dyDescent="0.3">
      <c r="A591" s="11">
        <v>24123</v>
      </c>
      <c r="B591">
        <v>1870</v>
      </c>
      <c r="C591" s="11">
        <v>5423</v>
      </c>
      <c r="D591" s="11">
        <v>15</v>
      </c>
      <c r="E591" s="11">
        <v>260</v>
      </c>
      <c r="F591" t="s">
        <v>31</v>
      </c>
      <c r="G591">
        <v>11</v>
      </c>
      <c r="I591" t="s">
        <v>31</v>
      </c>
      <c r="J591">
        <v>11</v>
      </c>
      <c r="K591" s="11">
        <v>30100</v>
      </c>
    </row>
    <row r="592" spans="1:11" x14ac:dyDescent="0.3">
      <c r="A592" s="11">
        <v>597082.5</v>
      </c>
      <c r="B592">
        <v>2007</v>
      </c>
      <c r="C592" s="11">
        <v>75262.5</v>
      </c>
      <c r="D592" s="11">
        <v>350</v>
      </c>
      <c r="E592" s="11">
        <v>10</v>
      </c>
      <c r="F592" t="s">
        <v>31</v>
      </c>
      <c r="G592">
        <v>11</v>
      </c>
      <c r="I592" t="s">
        <v>31</v>
      </c>
      <c r="J592">
        <v>11</v>
      </c>
      <c r="K592" s="11">
        <v>57456</v>
      </c>
    </row>
    <row r="593" spans="1:11" x14ac:dyDescent="0.3">
      <c r="A593" s="11">
        <v>639922.5</v>
      </c>
      <c r="B593">
        <v>2151</v>
      </c>
      <c r="C593" s="11">
        <v>80662.5</v>
      </c>
      <c r="D593" s="11">
        <v>350</v>
      </c>
      <c r="E593" s="11">
        <v>10</v>
      </c>
      <c r="F593" t="s">
        <v>31</v>
      </c>
      <c r="G593">
        <v>11</v>
      </c>
      <c r="I593" t="s">
        <v>31</v>
      </c>
      <c r="J593">
        <v>11</v>
      </c>
      <c r="K593" s="11">
        <v>-23870</v>
      </c>
    </row>
    <row r="594" spans="1:11" x14ac:dyDescent="0.3">
      <c r="A594" s="11">
        <v>656370</v>
      </c>
      <c r="B594">
        <v>2574</v>
      </c>
      <c r="C594" s="11">
        <v>12870</v>
      </c>
      <c r="D594" s="11">
        <v>300</v>
      </c>
      <c r="E594" s="11">
        <v>120</v>
      </c>
      <c r="F594" t="s">
        <v>31</v>
      </c>
      <c r="G594">
        <v>11</v>
      </c>
      <c r="I594" t="s">
        <v>31</v>
      </c>
      <c r="J594">
        <v>11</v>
      </c>
      <c r="K594" s="11">
        <v>8153.5999999999985</v>
      </c>
    </row>
    <row r="595" spans="1:11" x14ac:dyDescent="0.3">
      <c r="A595" s="11">
        <v>313862.5</v>
      </c>
      <c r="B595">
        <v>2954</v>
      </c>
      <c r="C595" s="11">
        <v>-40617.5</v>
      </c>
      <c r="D595" s="11">
        <v>125</v>
      </c>
      <c r="E595" s="11">
        <v>250</v>
      </c>
      <c r="F595" t="s">
        <v>31</v>
      </c>
      <c r="G595">
        <v>11</v>
      </c>
      <c r="I595" t="s">
        <v>31</v>
      </c>
      <c r="J595">
        <v>11</v>
      </c>
      <c r="K595" s="11">
        <v>15886.5</v>
      </c>
    </row>
    <row r="596" spans="1:11" x14ac:dyDescent="0.3">
      <c r="A596" s="11">
        <v>58650</v>
      </c>
      <c r="B596">
        <v>552</v>
      </c>
      <c r="C596" s="11">
        <v>-7590</v>
      </c>
      <c r="D596" s="11">
        <v>125</v>
      </c>
      <c r="E596" s="11">
        <v>250</v>
      </c>
      <c r="F596" t="s">
        <v>31</v>
      </c>
      <c r="G596">
        <v>11</v>
      </c>
      <c r="I596" t="s">
        <v>31</v>
      </c>
      <c r="J596">
        <v>11</v>
      </c>
      <c r="K596" s="11">
        <v>28655</v>
      </c>
    </row>
    <row r="597" spans="1:11" x14ac:dyDescent="0.3">
      <c r="A597" s="11">
        <v>529550</v>
      </c>
      <c r="B597">
        <v>1513</v>
      </c>
      <c r="C597" s="11">
        <v>136170</v>
      </c>
      <c r="D597" s="11">
        <v>350</v>
      </c>
      <c r="E597" s="11">
        <v>3</v>
      </c>
      <c r="F597" t="s">
        <v>32</v>
      </c>
      <c r="G597">
        <v>12</v>
      </c>
      <c r="I597" t="s">
        <v>31</v>
      </c>
      <c r="J597">
        <v>11</v>
      </c>
      <c r="K597" s="11">
        <v>4387.7000000000007</v>
      </c>
    </row>
    <row r="598" spans="1:11" x14ac:dyDescent="0.3">
      <c r="A598" s="11">
        <v>9225</v>
      </c>
      <c r="B598">
        <v>615</v>
      </c>
      <c r="C598" s="11">
        <v>3075</v>
      </c>
      <c r="D598" s="11">
        <v>15</v>
      </c>
      <c r="E598" s="11">
        <v>5</v>
      </c>
      <c r="F598" t="s">
        <v>32</v>
      </c>
      <c r="G598">
        <v>12</v>
      </c>
      <c r="I598" t="s">
        <v>31</v>
      </c>
      <c r="J598">
        <v>11</v>
      </c>
      <c r="K598" s="11">
        <v>28700</v>
      </c>
    </row>
    <row r="599" spans="1:11" x14ac:dyDescent="0.3">
      <c r="A599" s="11">
        <v>32280</v>
      </c>
      <c r="B599">
        <v>2152</v>
      </c>
      <c r="C599" s="11">
        <v>10760</v>
      </c>
      <c r="D599" s="11">
        <v>15</v>
      </c>
      <c r="E599" s="11">
        <v>10</v>
      </c>
      <c r="F599" t="s">
        <v>32</v>
      </c>
      <c r="G599">
        <v>12</v>
      </c>
      <c r="I599" t="s">
        <v>31</v>
      </c>
      <c r="J599">
        <v>11</v>
      </c>
      <c r="K599" s="11">
        <v>16265.04</v>
      </c>
    </row>
    <row r="600" spans="1:11" x14ac:dyDescent="0.3">
      <c r="A600" s="11">
        <v>36340</v>
      </c>
      <c r="B600">
        <v>1817</v>
      </c>
      <c r="C600" s="11">
        <v>18170</v>
      </c>
      <c r="D600" s="11">
        <v>20</v>
      </c>
      <c r="E600" s="11">
        <v>10</v>
      </c>
      <c r="F600" t="s">
        <v>32</v>
      </c>
      <c r="G600">
        <v>12</v>
      </c>
      <c r="I600" t="s">
        <v>31</v>
      </c>
      <c r="J600">
        <v>11</v>
      </c>
      <c r="K600" s="11">
        <v>48257</v>
      </c>
    </row>
    <row r="601" spans="1:11" x14ac:dyDescent="0.3">
      <c r="A601" s="11">
        <v>529550</v>
      </c>
      <c r="B601">
        <v>1513</v>
      </c>
      <c r="C601" s="11">
        <v>136170</v>
      </c>
      <c r="D601" s="11">
        <v>350</v>
      </c>
      <c r="E601" s="11">
        <v>10</v>
      </c>
      <c r="F601" t="s">
        <v>32</v>
      </c>
      <c r="G601">
        <v>12</v>
      </c>
      <c r="I601" t="s">
        <v>31</v>
      </c>
      <c r="J601">
        <v>11</v>
      </c>
      <c r="K601" s="11">
        <v>78802</v>
      </c>
    </row>
    <row r="602" spans="1:11" x14ac:dyDescent="0.3">
      <c r="A602" s="11">
        <v>36340</v>
      </c>
      <c r="B602">
        <v>1817</v>
      </c>
      <c r="C602" s="11">
        <v>18170</v>
      </c>
      <c r="D602" s="11">
        <v>20</v>
      </c>
      <c r="E602" s="11">
        <v>250</v>
      </c>
      <c r="F602" t="s">
        <v>32</v>
      </c>
      <c r="G602">
        <v>12</v>
      </c>
      <c r="I602" t="s">
        <v>31</v>
      </c>
      <c r="J602">
        <v>11</v>
      </c>
      <c r="K602" s="11">
        <v>20288</v>
      </c>
    </row>
    <row r="603" spans="1:11" x14ac:dyDescent="0.3">
      <c r="A603" s="11">
        <v>9225</v>
      </c>
      <c r="B603">
        <v>615</v>
      </c>
      <c r="C603" s="11">
        <v>3075</v>
      </c>
      <c r="D603" s="11">
        <v>15</v>
      </c>
      <c r="E603" s="11">
        <v>260</v>
      </c>
      <c r="F603" t="s">
        <v>32</v>
      </c>
      <c r="G603">
        <v>12</v>
      </c>
      <c r="I603" t="s">
        <v>31</v>
      </c>
      <c r="J603">
        <v>11</v>
      </c>
      <c r="K603" s="11">
        <v>5423</v>
      </c>
    </row>
    <row r="604" spans="1:11" x14ac:dyDescent="0.3">
      <c r="A604" s="11">
        <v>746707.5</v>
      </c>
      <c r="B604">
        <v>2155</v>
      </c>
      <c r="C604" s="11">
        <v>186407.5</v>
      </c>
      <c r="D604" s="11">
        <v>350</v>
      </c>
      <c r="E604" s="11">
        <v>3</v>
      </c>
      <c r="F604" t="s">
        <v>32</v>
      </c>
      <c r="G604">
        <v>12</v>
      </c>
      <c r="I604" t="s">
        <v>31</v>
      </c>
      <c r="J604">
        <v>11</v>
      </c>
      <c r="K604" s="11">
        <v>75262.5</v>
      </c>
    </row>
    <row r="605" spans="1:11" x14ac:dyDescent="0.3">
      <c r="A605" s="11">
        <v>746707.5</v>
      </c>
      <c r="B605">
        <v>2155</v>
      </c>
      <c r="C605" s="11">
        <v>186407.5</v>
      </c>
      <c r="D605" s="11">
        <v>350</v>
      </c>
      <c r="E605" s="11">
        <v>10</v>
      </c>
      <c r="F605" t="s">
        <v>32</v>
      </c>
      <c r="G605">
        <v>12</v>
      </c>
      <c r="I605" t="s">
        <v>31</v>
      </c>
      <c r="J605">
        <v>11</v>
      </c>
      <c r="K605" s="11">
        <v>80662.5</v>
      </c>
    </row>
    <row r="606" spans="1:11" x14ac:dyDescent="0.3">
      <c r="A606" s="11">
        <v>978236</v>
      </c>
      <c r="B606">
        <v>2852</v>
      </c>
      <c r="C606" s="11">
        <v>236716</v>
      </c>
      <c r="D606" s="11">
        <v>350</v>
      </c>
      <c r="E606" s="11">
        <v>3</v>
      </c>
      <c r="F606" t="s">
        <v>32</v>
      </c>
      <c r="G606">
        <v>12</v>
      </c>
      <c r="I606" t="s">
        <v>31</v>
      </c>
      <c r="J606">
        <v>11</v>
      </c>
      <c r="K606" s="11">
        <v>12870</v>
      </c>
    </row>
    <row r="607" spans="1:11" x14ac:dyDescent="0.3">
      <c r="A607" s="11">
        <v>563304</v>
      </c>
      <c r="B607">
        <v>1916</v>
      </c>
      <c r="C607" s="11">
        <v>84304</v>
      </c>
      <c r="D607" s="11">
        <v>300</v>
      </c>
      <c r="E607" s="11">
        <v>10</v>
      </c>
      <c r="F607" t="s">
        <v>32</v>
      </c>
      <c r="G607">
        <v>12</v>
      </c>
      <c r="I607" t="s">
        <v>31</v>
      </c>
      <c r="J607">
        <v>11</v>
      </c>
      <c r="K607" s="11">
        <v>-40617.5</v>
      </c>
    </row>
    <row r="608" spans="1:11" x14ac:dyDescent="0.3">
      <c r="A608" s="11">
        <v>978236</v>
      </c>
      <c r="B608">
        <v>2852</v>
      </c>
      <c r="C608" s="11">
        <v>236716</v>
      </c>
      <c r="D608" s="11">
        <v>350</v>
      </c>
      <c r="E608" s="11">
        <v>10</v>
      </c>
      <c r="F608" t="s">
        <v>32</v>
      </c>
      <c r="G608">
        <v>12</v>
      </c>
      <c r="I608" t="s">
        <v>31</v>
      </c>
      <c r="J608">
        <v>11</v>
      </c>
      <c r="K608" s="11">
        <v>-7590</v>
      </c>
    </row>
    <row r="609" spans="1:11" x14ac:dyDescent="0.3">
      <c r="A609" s="11">
        <v>334302.5</v>
      </c>
      <c r="B609">
        <v>2729</v>
      </c>
      <c r="C609" s="11">
        <v>6822.5</v>
      </c>
      <c r="D609" s="11">
        <v>125</v>
      </c>
      <c r="E609" s="11">
        <v>10</v>
      </c>
      <c r="F609" t="s">
        <v>32</v>
      </c>
      <c r="G609">
        <v>12</v>
      </c>
      <c r="I609" t="s">
        <v>32</v>
      </c>
      <c r="J609">
        <v>12</v>
      </c>
      <c r="K609" s="11">
        <v>136170</v>
      </c>
    </row>
    <row r="610" spans="1:11" x14ac:dyDescent="0.3">
      <c r="A610" s="11">
        <v>28297.5</v>
      </c>
      <c r="B610">
        <v>1925</v>
      </c>
      <c r="C610" s="11">
        <v>9047.5</v>
      </c>
      <c r="D610" s="11">
        <v>15</v>
      </c>
      <c r="E610" s="11">
        <v>10</v>
      </c>
      <c r="F610" t="s">
        <v>32</v>
      </c>
      <c r="G610">
        <v>12</v>
      </c>
      <c r="I610" t="s">
        <v>32</v>
      </c>
      <c r="J610">
        <v>12</v>
      </c>
      <c r="K610" s="11">
        <v>3075</v>
      </c>
    </row>
    <row r="611" spans="1:11" x14ac:dyDescent="0.3">
      <c r="A611" s="11">
        <v>13809.18</v>
      </c>
      <c r="B611">
        <v>2013</v>
      </c>
      <c r="C611" s="11">
        <v>3744.1800000000003</v>
      </c>
      <c r="D611" s="11">
        <v>7</v>
      </c>
      <c r="E611" s="11">
        <v>10</v>
      </c>
      <c r="F611" t="s">
        <v>32</v>
      </c>
      <c r="G611">
        <v>12</v>
      </c>
      <c r="I611" t="s">
        <v>32</v>
      </c>
      <c r="J611">
        <v>12</v>
      </c>
      <c r="K611" s="11">
        <v>10760</v>
      </c>
    </row>
    <row r="612" spans="1:11" x14ac:dyDescent="0.3">
      <c r="A612" s="11">
        <v>12406.8</v>
      </c>
      <c r="B612">
        <v>1055</v>
      </c>
      <c r="C612" s="11">
        <v>9241.7999999999993</v>
      </c>
      <c r="D612" s="11">
        <v>12</v>
      </c>
      <c r="E612" s="11">
        <v>10</v>
      </c>
      <c r="F612" t="s">
        <v>32</v>
      </c>
      <c r="G612">
        <v>12</v>
      </c>
      <c r="I612" t="s">
        <v>32</v>
      </c>
      <c r="J612">
        <v>12</v>
      </c>
      <c r="K612" s="11">
        <v>18170</v>
      </c>
    </row>
    <row r="613" spans="1:11" x14ac:dyDescent="0.3">
      <c r="A613" s="11">
        <v>12747.84</v>
      </c>
      <c r="B613">
        <v>1084</v>
      </c>
      <c r="C613" s="11">
        <v>9495.84</v>
      </c>
      <c r="D613" s="11">
        <v>12</v>
      </c>
      <c r="E613" s="11">
        <v>10</v>
      </c>
      <c r="F613" t="s">
        <v>32</v>
      </c>
      <c r="G613">
        <v>12</v>
      </c>
      <c r="I613" t="s">
        <v>32</v>
      </c>
      <c r="J613">
        <v>12</v>
      </c>
      <c r="K613" s="11">
        <v>136170</v>
      </c>
    </row>
    <row r="614" spans="1:11" x14ac:dyDescent="0.3">
      <c r="A614" s="11">
        <v>12406.8</v>
      </c>
      <c r="B614">
        <v>1055</v>
      </c>
      <c r="C614" s="11">
        <v>9241.7999999999993</v>
      </c>
      <c r="D614" s="11">
        <v>12</v>
      </c>
      <c r="E614" s="11">
        <v>120</v>
      </c>
      <c r="F614" t="s">
        <v>32</v>
      </c>
      <c r="G614">
        <v>12</v>
      </c>
      <c r="I614" t="s">
        <v>32</v>
      </c>
      <c r="J614">
        <v>12</v>
      </c>
      <c r="K614" s="11">
        <v>18170</v>
      </c>
    </row>
    <row r="615" spans="1:11" x14ac:dyDescent="0.3">
      <c r="A615" s="11">
        <v>10662.4</v>
      </c>
      <c r="B615">
        <v>544</v>
      </c>
      <c r="C615" s="11">
        <v>5222.3999999999996</v>
      </c>
      <c r="D615" s="11">
        <v>20</v>
      </c>
      <c r="E615" s="11">
        <v>120</v>
      </c>
      <c r="F615" t="s">
        <v>32</v>
      </c>
      <c r="G615">
        <v>12</v>
      </c>
      <c r="I615" t="s">
        <v>32</v>
      </c>
      <c r="J615">
        <v>12</v>
      </c>
      <c r="K615" s="11">
        <v>3075</v>
      </c>
    </row>
    <row r="616" spans="1:11" x14ac:dyDescent="0.3">
      <c r="A616" s="11">
        <v>12747.84</v>
      </c>
      <c r="B616">
        <v>1084</v>
      </c>
      <c r="C616" s="11">
        <v>9495.84</v>
      </c>
      <c r="D616" s="11">
        <v>12</v>
      </c>
      <c r="E616" s="11">
        <v>120</v>
      </c>
      <c r="F616" t="s">
        <v>32</v>
      </c>
      <c r="G616">
        <v>12</v>
      </c>
      <c r="I616" t="s">
        <v>32</v>
      </c>
      <c r="J616">
        <v>12</v>
      </c>
      <c r="K616" s="11">
        <v>186407.5</v>
      </c>
    </row>
    <row r="617" spans="1:11" x14ac:dyDescent="0.3">
      <c r="A617" s="11">
        <v>334302.5</v>
      </c>
      <c r="B617">
        <v>2729</v>
      </c>
      <c r="C617" s="11">
        <v>6822.5</v>
      </c>
      <c r="D617" s="11">
        <v>125</v>
      </c>
      <c r="E617" s="11">
        <v>250</v>
      </c>
      <c r="F617" t="s">
        <v>32</v>
      </c>
      <c r="G617">
        <v>12</v>
      </c>
      <c r="I617" t="s">
        <v>32</v>
      </c>
      <c r="J617">
        <v>12</v>
      </c>
      <c r="K617" s="11">
        <v>186407.5</v>
      </c>
    </row>
    <row r="618" spans="1:11" x14ac:dyDescent="0.3">
      <c r="A618" s="11">
        <v>91238</v>
      </c>
      <c r="B618">
        <v>266</v>
      </c>
      <c r="C618" s="11">
        <v>22078</v>
      </c>
      <c r="D618" s="11">
        <v>350</v>
      </c>
      <c r="E618" s="11">
        <v>250</v>
      </c>
      <c r="F618" t="s">
        <v>32</v>
      </c>
      <c r="G618">
        <v>12</v>
      </c>
      <c r="I618" t="s">
        <v>32</v>
      </c>
      <c r="J618">
        <v>12</v>
      </c>
      <c r="K618" s="11">
        <v>236716</v>
      </c>
    </row>
    <row r="619" spans="1:11" x14ac:dyDescent="0.3">
      <c r="A619" s="11">
        <v>665420</v>
      </c>
      <c r="B619">
        <v>1940</v>
      </c>
      <c r="C619" s="11">
        <v>161020</v>
      </c>
      <c r="D619" s="11">
        <v>350</v>
      </c>
      <c r="E619" s="11">
        <v>250</v>
      </c>
      <c r="F619" t="s">
        <v>32</v>
      </c>
      <c r="G619">
        <v>12</v>
      </c>
      <c r="I619" t="s">
        <v>32</v>
      </c>
      <c r="J619">
        <v>12</v>
      </c>
      <c r="K619" s="11">
        <v>84304</v>
      </c>
    </row>
    <row r="620" spans="1:11" x14ac:dyDescent="0.3">
      <c r="A620" s="11">
        <v>563304</v>
      </c>
      <c r="B620">
        <v>1916</v>
      </c>
      <c r="C620" s="11">
        <v>84304</v>
      </c>
      <c r="D620" s="11">
        <v>300</v>
      </c>
      <c r="E620" s="11">
        <v>260</v>
      </c>
      <c r="F620" t="s">
        <v>32</v>
      </c>
      <c r="G620">
        <v>12</v>
      </c>
      <c r="I620" t="s">
        <v>32</v>
      </c>
      <c r="J620">
        <v>12</v>
      </c>
      <c r="K620" s="11">
        <v>236716</v>
      </c>
    </row>
    <row r="621" spans="1:11" x14ac:dyDescent="0.3">
      <c r="A621" s="11">
        <v>10569.12</v>
      </c>
      <c r="B621">
        <v>908</v>
      </c>
      <c r="C621" s="11">
        <v>7845.1200000000008</v>
      </c>
      <c r="D621" s="11">
        <v>12</v>
      </c>
      <c r="E621" s="11">
        <v>3</v>
      </c>
      <c r="F621" t="s">
        <v>32</v>
      </c>
      <c r="G621">
        <v>12</v>
      </c>
      <c r="I621" t="s">
        <v>32</v>
      </c>
      <c r="J621">
        <v>12</v>
      </c>
      <c r="K621" s="11">
        <v>6822.5</v>
      </c>
    </row>
    <row r="622" spans="1:11" x14ac:dyDescent="0.3">
      <c r="A622" s="11">
        <v>156048.75</v>
      </c>
      <c r="B622">
        <v>1287</v>
      </c>
      <c r="C622" s="11">
        <v>1608.75</v>
      </c>
      <c r="D622" s="11">
        <v>125</v>
      </c>
      <c r="E622" s="11">
        <v>5</v>
      </c>
      <c r="F622" t="s">
        <v>32</v>
      </c>
      <c r="G622">
        <v>12</v>
      </c>
      <c r="I622" t="s">
        <v>32</v>
      </c>
      <c r="J622">
        <v>12</v>
      </c>
      <c r="K622" s="11">
        <v>9047.5</v>
      </c>
    </row>
    <row r="623" spans="1:11" x14ac:dyDescent="0.3">
      <c r="A623" s="11">
        <v>206852.5</v>
      </c>
      <c r="B623">
        <v>1706</v>
      </c>
      <c r="C623" s="11">
        <v>2132.5</v>
      </c>
      <c r="D623" s="11">
        <v>125</v>
      </c>
      <c r="E623" s="11">
        <v>5</v>
      </c>
      <c r="F623" t="s">
        <v>32</v>
      </c>
      <c r="G623">
        <v>12</v>
      </c>
      <c r="I623" t="s">
        <v>32</v>
      </c>
      <c r="J623">
        <v>12</v>
      </c>
      <c r="K623" s="11">
        <v>3744.1800000000003</v>
      </c>
    </row>
    <row r="624" spans="1:11" x14ac:dyDescent="0.3">
      <c r="A624" s="11">
        <v>156048.75</v>
      </c>
      <c r="B624">
        <v>1287</v>
      </c>
      <c r="C624" s="11">
        <v>1608.75</v>
      </c>
      <c r="D624" s="11">
        <v>125</v>
      </c>
      <c r="E624" s="11">
        <v>10</v>
      </c>
      <c r="F624" t="s">
        <v>32</v>
      </c>
      <c r="G624">
        <v>12</v>
      </c>
      <c r="I624" t="s">
        <v>32</v>
      </c>
      <c r="J624">
        <v>12</v>
      </c>
      <c r="K624" s="11">
        <v>9241.7999999999993</v>
      </c>
    </row>
    <row r="625" spans="1:11" x14ac:dyDescent="0.3">
      <c r="A625" s="11">
        <v>206852.5</v>
      </c>
      <c r="B625">
        <v>1706</v>
      </c>
      <c r="C625" s="11">
        <v>2132.5</v>
      </c>
      <c r="D625" s="11">
        <v>125</v>
      </c>
      <c r="E625" s="11">
        <v>10</v>
      </c>
      <c r="F625" t="s">
        <v>32</v>
      </c>
      <c r="G625">
        <v>12</v>
      </c>
      <c r="I625" t="s">
        <v>32</v>
      </c>
      <c r="J625">
        <v>12</v>
      </c>
      <c r="K625" s="11">
        <v>9495.84</v>
      </c>
    </row>
    <row r="626" spans="1:11" x14ac:dyDescent="0.3">
      <c r="A626" s="11">
        <v>32558.400000000001</v>
      </c>
      <c r="B626">
        <v>2261</v>
      </c>
      <c r="C626" s="11">
        <v>9948.4000000000015</v>
      </c>
      <c r="D626" s="11">
        <v>15</v>
      </c>
      <c r="E626" s="11">
        <v>10</v>
      </c>
      <c r="F626" t="s">
        <v>32</v>
      </c>
      <c r="G626">
        <v>12</v>
      </c>
      <c r="I626" t="s">
        <v>32</v>
      </c>
      <c r="J626">
        <v>12</v>
      </c>
      <c r="K626" s="11">
        <v>9241.7999999999993</v>
      </c>
    </row>
    <row r="627" spans="1:11" x14ac:dyDescent="0.3">
      <c r="A627" s="11">
        <v>92064</v>
      </c>
      <c r="B627">
        <v>274</v>
      </c>
      <c r="C627" s="11">
        <v>20824</v>
      </c>
      <c r="D627" s="11">
        <v>350</v>
      </c>
      <c r="E627" s="11">
        <v>3</v>
      </c>
      <c r="F627" t="s">
        <v>32</v>
      </c>
      <c r="G627">
        <v>12</v>
      </c>
      <c r="I627" t="s">
        <v>32</v>
      </c>
      <c r="J627">
        <v>12</v>
      </c>
      <c r="K627" s="11">
        <v>5222.3999999999996</v>
      </c>
    </row>
    <row r="628" spans="1:11" x14ac:dyDescent="0.3">
      <c r="A628" s="11">
        <v>136560</v>
      </c>
      <c r="B628">
        <v>1138</v>
      </c>
      <c r="C628" s="11">
        <v>0</v>
      </c>
      <c r="D628" s="11">
        <v>125</v>
      </c>
      <c r="E628" s="11">
        <v>5</v>
      </c>
      <c r="F628" t="s">
        <v>32</v>
      </c>
      <c r="G628">
        <v>12</v>
      </c>
      <c r="I628" t="s">
        <v>32</v>
      </c>
      <c r="J628">
        <v>12</v>
      </c>
      <c r="K628" s="11">
        <v>9495.84</v>
      </c>
    </row>
    <row r="629" spans="1:11" x14ac:dyDescent="0.3">
      <c r="A629" s="11">
        <v>92064</v>
      </c>
      <c r="B629">
        <v>274</v>
      </c>
      <c r="C629" s="11">
        <v>20824</v>
      </c>
      <c r="D629" s="11">
        <v>350</v>
      </c>
      <c r="E629" s="11">
        <v>10</v>
      </c>
      <c r="F629" t="s">
        <v>32</v>
      </c>
      <c r="G629">
        <v>12</v>
      </c>
      <c r="I629" t="s">
        <v>32</v>
      </c>
      <c r="J629">
        <v>12</v>
      </c>
      <c r="K629" s="11">
        <v>6822.5</v>
      </c>
    </row>
    <row r="630" spans="1:11" x14ac:dyDescent="0.3">
      <c r="A630" s="11">
        <v>136560</v>
      </c>
      <c r="B630">
        <v>1138</v>
      </c>
      <c r="C630" s="11">
        <v>0</v>
      </c>
      <c r="D630" s="11">
        <v>125</v>
      </c>
      <c r="E630" s="11">
        <v>10</v>
      </c>
      <c r="F630" t="s">
        <v>32</v>
      </c>
      <c r="G630">
        <v>12</v>
      </c>
      <c r="I630" t="s">
        <v>32</v>
      </c>
      <c r="J630">
        <v>12</v>
      </c>
      <c r="K630" s="11">
        <v>22078</v>
      </c>
    </row>
    <row r="631" spans="1:11" x14ac:dyDescent="0.3">
      <c r="A631" s="11">
        <v>597408</v>
      </c>
      <c r="B631">
        <v>1778</v>
      </c>
      <c r="C631" s="11">
        <v>135128</v>
      </c>
      <c r="D631" s="11">
        <v>350</v>
      </c>
      <c r="E631" s="11">
        <v>260</v>
      </c>
      <c r="F631" t="s">
        <v>32</v>
      </c>
      <c r="G631">
        <v>12</v>
      </c>
      <c r="I631" t="s">
        <v>32</v>
      </c>
      <c r="J631">
        <v>12</v>
      </c>
      <c r="K631" s="11">
        <v>161020</v>
      </c>
    </row>
    <row r="632" spans="1:11" x14ac:dyDescent="0.3">
      <c r="A632" s="11">
        <v>27713.4</v>
      </c>
      <c r="B632">
        <v>2431</v>
      </c>
      <c r="C632" s="11">
        <v>20420.400000000001</v>
      </c>
      <c r="D632" s="11">
        <v>12</v>
      </c>
      <c r="E632" s="11">
        <v>10</v>
      </c>
      <c r="F632" t="s">
        <v>32</v>
      </c>
      <c r="G632">
        <v>12</v>
      </c>
      <c r="I632" t="s">
        <v>32</v>
      </c>
      <c r="J632">
        <v>12</v>
      </c>
      <c r="K632" s="11">
        <v>84304</v>
      </c>
    </row>
    <row r="633" spans="1:11" x14ac:dyDescent="0.3">
      <c r="A633" s="11">
        <v>27713.4</v>
      </c>
      <c r="B633">
        <v>2431</v>
      </c>
      <c r="C633" s="11">
        <v>20420.400000000001</v>
      </c>
      <c r="D633" s="11">
        <v>12</v>
      </c>
      <c r="E633" s="11">
        <v>120</v>
      </c>
      <c r="F633" t="s">
        <v>32</v>
      </c>
      <c r="G633">
        <v>12</v>
      </c>
      <c r="I633" t="s">
        <v>32</v>
      </c>
      <c r="J633">
        <v>12</v>
      </c>
      <c r="K633" s="11">
        <v>7845.1200000000008</v>
      </c>
    </row>
    <row r="634" spans="1:11" x14ac:dyDescent="0.3">
      <c r="A634" s="11">
        <v>3790.5</v>
      </c>
      <c r="B634">
        <v>570</v>
      </c>
      <c r="C634" s="11">
        <v>940.5</v>
      </c>
      <c r="D634" s="11">
        <v>7</v>
      </c>
      <c r="E634" s="11">
        <v>3</v>
      </c>
      <c r="F634" t="s">
        <v>32</v>
      </c>
      <c r="G634">
        <v>12</v>
      </c>
      <c r="I634" t="s">
        <v>32</v>
      </c>
      <c r="J634">
        <v>12</v>
      </c>
      <c r="K634" s="11">
        <v>1608.75</v>
      </c>
    </row>
    <row r="635" spans="1:11" x14ac:dyDescent="0.3">
      <c r="A635" s="11">
        <v>16538.55</v>
      </c>
      <c r="B635">
        <v>2487</v>
      </c>
      <c r="C635" s="11">
        <v>4103.5499999999993</v>
      </c>
      <c r="D635" s="11">
        <v>7</v>
      </c>
      <c r="E635" s="11">
        <v>3</v>
      </c>
      <c r="F635" t="s">
        <v>32</v>
      </c>
      <c r="G635">
        <v>12</v>
      </c>
      <c r="I635" t="s">
        <v>32</v>
      </c>
      <c r="J635">
        <v>12</v>
      </c>
      <c r="K635" s="11">
        <v>2132.5</v>
      </c>
    </row>
    <row r="636" spans="1:11" x14ac:dyDescent="0.3">
      <c r="A636" s="11">
        <v>313500</v>
      </c>
      <c r="B636">
        <v>1100</v>
      </c>
      <c r="C636" s="11">
        <v>38500</v>
      </c>
      <c r="D636" s="11">
        <v>300</v>
      </c>
      <c r="E636" s="11">
        <v>5</v>
      </c>
      <c r="F636" t="s">
        <v>32</v>
      </c>
      <c r="G636">
        <v>12</v>
      </c>
      <c r="I636" t="s">
        <v>32</v>
      </c>
      <c r="J636">
        <v>12</v>
      </c>
      <c r="K636" s="11">
        <v>1608.75</v>
      </c>
    </row>
    <row r="637" spans="1:11" x14ac:dyDescent="0.3">
      <c r="A637" s="11">
        <v>34238</v>
      </c>
      <c r="B637">
        <v>1802</v>
      </c>
      <c r="C637" s="11">
        <v>16218</v>
      </c>
      <c r="D637" s="11">
        <v>20</v>
      </c>
      <c r="E637" s="11">
        <v>10</v>
      </c>
      <c r="F637" t="s">
        <v>32</v>
      </c>
      <c r="G637">
        <v>12</v>
      </c>
      <c r="I637" t="s">
        <v>32</v>
      </c>
      <c r="J637">
        <v>12</v>
      </c>
      <c r="K637" s="11">
        <v>2132.5</v>
      </c>
    </row>
    <row r="638" spans="1:11" x14ac:dyDescent="0.3">
      <c r="A638" s="11">
        <v>50597</v>
      </c>
      <c r="B638">
        <v>2663</v>
      </c>
      <c r="C638" s="11">
        <v>23967</v>
      </c>
      <c r="D638" s="11">
        <v>20</v>
      </c>
      <c r="E638" s="11">
        <v>10</v>
      </c>
      <c r="F638" t="s">
        <v>32</v>
      </c>
      <c r="G638">
        <v>12</v>
      </c>
      <c r="I638" t="s">
        <v>32</v>
      </c>
      <c r="J638">
        <v>12</v>
      </c>
      <c r="K638" s="11">
        <v>9948.4000000000015</v>
      </c>
    </row>
    <row r="639" spans="1:11" x14ac:dyDescent="0.3">
      <c r="A639" s="11">
        <v>14204.4</v>
      </c>
      <c r="B639">
        <v>2136</v>
      </c>
      <c r="C639" s="11">
        <v>3524.3999999999996</v>
      </c>
      <c r="D639" s="11">
        <v>7</v>
      </c>
      <c r="E639" s="11">
        <v>10</v>
      </c>
      <c r="F639" t="s">
        <v>32</v>
      </c>
      <c r="G639">
        <v>12</v>
      </c>
      <c r="I639" t="s">
        <v>32</v>
      </c>
      <c r="J639">
        <v>12</v>
      </c>
      <c r="K639" s="11">
        <v>20824</v>
      </c>
    </row>
    <row r="640" spans="1:11" x14ac:dyDescent="0.3">
      <c r="A640" s="11">
        <v>30153</v>
      </c>
      <c r="B640">
        <v>2116</v>
      </c>
      <c r="C640" s="11">
        <v>8993</v>
      </c>
      <c r="D640" s="11">
        <v>15</v>
      </c>
      <c r="E640" s="11">
        <v>10</v>
      </c>
      <c r="F640" t="s">
        <v>32</v>
      </c>
      <c r="G640">
        <v>12</v>
      </c>
      <c r="I640" t="s">
        <v>32</v>
      </c>
      <c r="J640">
        <v>12</v>
      </c>
      <c r="K640" s="11">
        <v>0</v>
      </c>
    </row>
    <row r="641" spans="1:11" x14ac:dyDescent="0.3">
      <c r="A641" s="11">
        <v>19627</v>
      </c>
      <c r="B641">
        <v>1033</v>
      </c>
      <c r="C641" s="11">
        <v>9297</v>
      </c>
      <c r="D641" s="11">
        <v>20</v>
      </c>
      <c r="E641" s="11">
        <v>120</v>
      </c>
      <c r="F641" t="s">
        <v>32</v>
      </c>
      <c r="G641">
        <v>12</v>
      </c>
      <c r="I641" t="s">
        <v>32</v>
      </c>
      <c r="J641">
        <v>12</v>
      </c>
      <c r="K641" s="11">
        <v>20824</v>
      </c>
    </row>
    <row r="642" spans="1:11" x14ac:dyDescent="0.3">
      <c r="A642" s="11">
        <v>356250</v>
      </c>
      <c r="B642">
        <v>1250</v>
      </c>
      <c r="C642" s="11">
        <v>43750</v>
      </c>
      <c r="D642" s="11">
        <v>300</v>
      </c>
      <c r="E642" s="11">
        <v>120</v>
      </c>
      <c r="F642" t="s">
        <v>32</v>
      </c>
      <c r="G642">
        <v>12</v>
      </c>
      <c r="I642" t="s">
        <v>32</v>
      </c>
      <c r="J642">
        <v>12</v>
      </c>
      <c r="K642" s="11">
        <v>0</v>
      </c>
    </row>
    <row r="643" spans="1:11" x14ac:dyDescent="0.3">
      <c r="A643" s="11">
        <v>50597</v>
      </c>
      <c r="B643">
        <v>2663</v>
      </c>
      <c r="C643" s="11">
        <v>23967</v>
      </c>
      <c r="D643" s="11">
        <v>20</v>
      </c>
      <c r="E643" s="11">
        <v>250</v>
      </c>
      <c r="F643" t="s">
        <v>32</v>
      </c>
      <c r="G643">
        <v>12</v>
      </c>
      <c r="I643" t="s">
        <v>32</v>
      </c>
      <c r="J643">
        <v>12</v>
      </c>
      <c r="K643" s="11">
        <v>135128</v>
      </c>
    </row>
    <row r="644" spans="1:11" x14ac:dyDescent="0.3">
      <c r="A644" s="11">
        <v>3790.5</v>
      </c>
      <c r="B644">
        <v>570</v>
      </c>
      <c r="C644" s="11">
        <v>940.5</v>
      </c>
      <c r="D644" s="11">
        <v>7</v>
      </c>
      <c r="E644" s="11">
        <v>250</v>
      </c>
      <c r="F644" t="s">
        <v>32</v>
      </c>
      <c r="G644">
        <v>12</v>
      </c>
      <c r="I644" t="s">
        <v>32</v>
      </c>
      <c r="J644">
        <v>12</v>
      </c>
      <c r="K644" s="11">
        <v>20420.400000000001</v>
      </c>
    </row>
    <row r="645" spans="1:11" x14ac:dyDescent="0.3">
      <c r="A645" s="11">
        <v>16538.55</v>
      </c>
      <c r="B645">
        <v>2487</v>
      </c>
      <c r="C645" s="11">
        <v>4103.5499999999993</v>
      </c>
      <c r="D645" s="11">
        <v>7</v>
      </c>
      <c r="E645" s="11">
        <v>250</v>
      </c>
      <c r="F645" t="s">
        <v>32</v>
      </c>
      <c r="G645">
        <v>12</v>
      </c>
      <c r="I645" t="s">
        <v>32</v>
      </c>
      <c r="J645">
        <v>12</v>
      </c>
      <c r="K645" s="11">
        <v>20420.400000000001</v>
      </c>
    </row>
    <row r="646" spans="1:11" x14ac:dyDescent="0.3">
      <c r="A646" s="11">
        <v>356250</v>
      </c>
      <c r="B646">
        <v>1250</v>
      </c>
      <c r="C646" s="11">
        <v>43750</v>
      </c>
      <c r="D646" s="11">
        <v>300</v>
      </c>
      <c r="E646" s="11">
        <v>260</v>
      </c>
      <c r="F646" t="s">
        <v>32</v>
      </c>
      <c r="G646">
        <v>12</v>
      </c>
      <c r="I646" t="s">
        <v>32</v>
      </c>
      <c r="J646">
        <v>12</v>
      </c>
      <c r="K646" s="11">
        <v>940.5</v>
      </c>
    </row>
    <row r="647" spans="1:11" x14ac:dyDescent="0.3">
      <c r="A647" s="11">
        <v>104222.5</v>
      </c>
      <c r="B647">
        <v>887</v>
      </c>
      <c r="C647" s="11">
        <v>-2217.5</v>
      </c>
      <c r="D647" s="11">
        <v>125</v>
      </c>
      <c r="E647" s="11">
        <v>3</v>
      </c>
      <c r="F647" t="s">
        <v>32</v>
      </c>
      <c r="G647">
        <v>12</v>
      </c>
      <c r="I647" t="s">
        <v>32</v>
      </c>
      <c r="J647">
        <v>12</v>
      </c>
      <c r="K647" s="11">
        <v>4103.5499999999993</v>
      </c>
    </row>
    <row r="648" spans="1:11" x14ac:dyDescent="0.3">
      <c r="A648" s="11">
        <v>686952</v>
      </c>
      <c r="B648">
        <v>2436</v>
      </c>
      <c r="C648" s="11">
        <v>77952</v>
      </c>
      <c r="D648" s="11">
        <v>300</v>
      </c>
      <c r="E648" s="11">
        <v>250</v>
      </c>
      <c r="F648" t="s">
        <v>32</v>
      </c>
      <c r="G648">
        <v>12</v>
      </c>
      <c r="I648" t="s">
        <v>32</v>
      </c>
      <c r="J648">
        <v>12</v>
      </c>
      <c r="K648" s="11">
        <v>38500</v>
      </c>
    </row>
    <row r="649" spans="1:11" x14ac:dyDescent="0.3">
      <c r="A649" s="11">
        <v>10298.82</v>
      </c>
      <c r="B649">
        <v>1582</v>
      </c>
      <c r="C649" s="11">
        <v>2388.8199999999997</v>
      </c>
      <c r="D649" s="11">
        <v>7</v>
      </c>
      <c r="E649" s="11">
        <v>120</v>
      </c>
      <c r="F649" t="s">
        <v>32</v>
      </c>
      <c r="G649">
        <v>12</v>
      </c>
      <c r="I649" t="s">
        <v>32</v>
      </c>
      <c r="J649">
        <v>12</v>
      </c>
      <c r="K649" s="11">
        <v>16218</v>
      </c>
    </row>
    <row r="650" spans="1:11" x14ac:dyDescent="0.3">
      <c r="A650" s="11">
        <v>10298.82</v>
      </c>
      <c r="B650">
        <v>1582</v>
      </c>
      <c r="C650" s="11">
        <v>2388.8199999999997</v>
      </c>
      <c r="D650" s="11">
        <v>7</v>
      </c>
      <c r="E650" s="11">
        <v>250</v>
      </c>
      <c r="F650" t="s">
        <v>32</v>
      </c>
      <c r="G650">
        <v>12</v>
      </c>
      <c r="I650" t="s">
        <v>32</v>
      </c>
      <c r="J650">
        <v>12</v>
      </c>
      <c r="K650" s="11">
        <v>23967</v>
      </c>
    </row>
    <row r="651" spans="1:11" x14ac:dyDescent="0.3">
      <c r="A651" s="11">
        <v>13833.75</v>
      </c>
      <c r="B651">
        <v>2125</v>
      </c>
      <c r="C651" s="11">
        <v>3208.75</v>
      </c>
      <c r="D651" s="11">
        <v>7</v>
      </c>
      <c r="E651" s="11">
        <v>10</v>
      </c>
      <c r="F651" t="s">
        <v>32</v>
      </c>
      <c r="G651">
        <v>12</v>
      </c>
      <c r="I651" t="s">
        <v>32</v>
      </c>
      <c r="J651">
        <v>12</v>
      </c>
      <c r="K651" s="11">
        <v>3524.3999999999996</v>
      </c>
    </row>
    <row r="652" spans="1:11" x14ac:dyDescent="0.3">
      <c r="A652" s="11">
        <v>26430.6</v>
      </c>
      <c r="B652">
        <v>1421</v>
      </c>
      <c r="C652" s="11">
        <v>12220.599999999999</v>
      </c>
      <c r="D652" s="11">
        <v>20</v>
      </c>
      <c r="E652" s="11">
        <v>120</v>
      </c>
      <c r="F652" t="s">
        <v>32</v>
      </c>
      <c r="G652">
        <v>12</v>
      </c>
      <c r="I652" t="s">
        <v>32</v>
      </c>
      <c r="J652">
        <v>12</v>
      </c>
      <c r="K652" s="11">
        <v>8993</v>
      </c>
    </row>
    <row r="653" spans="1:11" x14ac:dyDescent="0.3">
      <c r="A653" s="11">
        <v>382788</v>
      </c>
      <c r="B653">
        <v>1372</v>
      </c>
      <c r="C653" s="11">
        <v>39788</v>
      </c>
      <c r="D653" s="11">
        <v>300</v>
      </c>
      <c r="E653" s="11">
        <v>120</v>
      </c>
      <c r="F653" t="s">
        <v>32</v>
      </c>
      <c r="G653">
        <v>12</v>
      </c>
      <c r="I653" t="s">
        <v>32</v>
      </c>
      <c r="J653">
        <v>12</v>
      </c>
      <c r="K653" s="11">
        <v>9297</v>
      </c>
    </row>
    <row r="654" spans="1:11" x14ac:dyDescent="0.3">
      <c r="A654" s="11">
        <v>10936.8</v>
      </c>
      <c r="B654">
        <v>588</v>
      </c>
      <c r="C654" s="11">
        <v>5056.7999999999993</v>
      </c>
      <c r="D654" s="11">
        <v>20</v>
      </c>
      <c r="E654" s="11">
        <v>120</v>
      </c>
      <c r="F654" t="s">
        <v>32</v>
      </c>
      <c r="G654">
        <v>12</v>
      </c>
      <c r="I654" t="s">
        <v>32</v>
      </c>
      <c r="J654">
        <v>12</v>
      </c>
      <c r="K654" s="11">
        <v>43750</v>
      </c>
    </row>
    <row r="655" spans="1:11" x14ac:dyDescent="0.3">
      <c r="A655" s="11">
        <v>382788</v>
      </c>
      <c r="B655">
        <v>1372</v>
      </c>
      <c r="C655" s="11">
        <v>39788</v>
      </c>
      <c r="D655" s="11">
        <v>300</v>
      </c>
      <c r="E655" s="11">
        <v>260</v>
      </c>
      <c r="F655" t="s">
        <v>32</v>
      </c>
      <c r="G655">
        <v>12</v>
      </c>
      <c r="I655" t="s">
        <v>32</v>
      </c>
      <c r="J655">
        <v>12</v>
      </c>
      <c r="K655" s="11">
        <v>23967</v>
      </c>
    </row>
    <row r="656" spans="1:11" x14ac:dyDescent="0.3">
      <c r="A656" s="11">
        <v>438564</v>
      </c>
      <c r="B656">
        <v>1362</v>
      </c>
      <c r="C656" s="11">
        <v>84444</v>
      </c>
      <c r="D656" s="11">
        <v>350</v>
      </c>
      <c r="E656" s="11">
        <v>3</v>
      </c>
      <c r="F656" t="s">
        <v>32</v>
      </c>
      <c r="G656">
        <v>12</v>
      </c>
      <c r="I656" t="s">
        <v>32</v>
      </c>
      <c r="J656">
        <v>12</v>
      </c>
      <c r="K656" s="11">
        <v>940.5</v>
      </c>
    </row>
    <row r="657" spans="1:11" x14ac:dyDescent="0.3">
      <c r="A657" s="11">
        <v>9811.7999999999993</v>
      </c>
      <c r="B657">
        <v>711</v>
      </c>
      <c r="C657" s="11">
        <v>2701.7999999999993</v>
      </c>
      <c r="D657" s="11">
        <v>15</v>
      </c>
      <c r="E657" s="11">
        <v>5</v>
      </c>
      <c r="F657" t="s">
        <v>32</v>
      </c>
      <c r="G657">
        <v>12</v>
      </c>
      <c r="I657" t="s">
        <v>32</v>
      </c>
      <c r="J657">
        <v>12</v>
      </c>
      <c r="K657" s="11">
        <v>4103.5499999999993</v>
      </c>
    </row>
    <row r="658" spans="1:11" x14ac:dyDescent="0.3">
      <c r="A658" s="11">
        <v>12532.24</v>
      </c>
      <c r="B658">
        <v>1946</v>
      </c>
      <c r="C658" s="11">
        <v>2802.24</v>
      </c>
      <c r="D658" s="11">
        <v>7</v>
      </c>
      <c r="E658" s="11">
        <v>10</v>
      </c>
      <c r="F658" t="s">
        <v>32</v>
      </c>
      <c r="G658">
        <v>12</v>
      </c>
      <c r="I658" t="s">
        <v>32</v>
      </c>
      <c r="J658">
        <v>12</v>
      </c>
      <c r="K658" s="11">
        <v>43750</v>
      </c>
    </row>
    <row r="659" spans="1:11" x14ac:dyDescent="0.3">
      <c r="A659" s="11">
        <v>438564</v>
      </c>
      <c r="B659">
        <v>1362</v>
      </c>
      <c r="C659" s="11">
        <v>84444</v>
      </c>
      <c r="D659" s="11">
        <v>350</v>
      </c>
      <c r="E659" s="11">
        <v>10</v>
      </c>
      <c r="F659" t="s">
        <v>32</v>
      </c>
      <c r="G659">
        <v>12</v>
      </c>
      <c r="I659" t="s">
        <v>32</v>
      </c>
      <c r="J659">
        <v>12</v>
      </c>
      <c r="K659" s="11">
        <v>-2217.5</v>
      </c>
    </row>
    <row r="660" spans="1:11" x14ac:dyDescent="0.3">
      <c r="A660" s="11">
        <v>175260</v>
      </c>
      <c r="B660">
        <v>635</v>
      </c>
      <c r="C660" s="11">
        <v>16510</v>
      </c>
      <c r="D660" s="11">
        <v>300</v>
      </c>
      <c r="E660" s="11">
        <v>120</v>
      </c>
      <c r="F660" t="s">
        <v>32</v>
      </c>
      <c r="G660">
        <v>12</v>
      </c>
      <c r="I660" t="s">
        <v>32</v>
      </c>
      <c r="J660">
        <v>12</v>
      </c>
      <c r="K660" s="11">
        <v>77952</v>
      </c>
    </row>
    <row r="661" spans="1:11" x14ac:dyDescent="0.3">
      <c r="A661" s="11">
        <v>223008</v>
      </c>
      <c r="B661">
        <v>808</v>
      </c>
      <c r="C661" s="11">
        <v>21008</v>
      </c>
      <c r="D661" s="11">
        <v>300</v>
      </c>
      <c r="E661" s="11">
        <v>250</v>
      </c>
      <c r="F661" t="s">
        <v>32</v>
      </c>
      <c r="G661">
        <v>12</v>
      </c>
      <c r="I661" t="s">
        <v>32</v>
      </c>
      <c r="J661">
        <v>12</v>
      </c>
      <c r="K661" s="11">
        <v>2388.8199999999997</v>
      </c>
    </row>
    <row r="662" spans="1:11" x14ac:dyDescent="0.3">
      <c r="A662" s="11">
        <v>9811.7999999999993</v>
      </c>
      <c r="B662">
        <v>711</v>
      </c>
      <c r="C662" s="11">
        <v>2701.7999999999993</v>
      </c>
      <c r="D662" s="11">
        <v>15</v>
      </c>
      <c r="E662" s="11">
        <v>260</v>
      </c>
      <c r="F662" t="s">
        <v>32</v>
      </c>
      <c r="G662">
        <v>12</v>
      </c>
      <c r="I662" t="s">
        <v>32</v>
      </c>
      <c r="J662">
        <v>12</v>
      </c>
      <c r="K662" s="11">
        <v>2388.8199999999997</v>
      </c>
    </row>
    <row r="663" spans="1:11" x14ac:dyDescent="0.3">
      <c r="A663" s="11">
        <v>15180</v>
      </c>
      <c r="B663">
        <v>1375</v>
      </c>
      <c r="C663" s="11">
        <v>11055</v>
      </c>
      <c r="D663" s="11">
        <v>12</v>
      </c>
      <c r="E663" s="11">
        <v>260</v>
      </c>
      <c r="F663" t="s">
        <v>32</v>
      </c>
      <c r="G663">
        <v>12</v>
      </c>
      <c r="I663" t="s">
        <v>32</v>
      </c>
      <c r="J663">
        <v>12</v>
      </c>
      <c r="K663" s="11">
        <v>3208.75</v>
      </c>
    </row>
    <row r="664" spans="1:11" x14ac:dyDescent="0.3">
      <c r="A664" s="11">
        <v>175260</v>
      </c>
      <c r="B664">
        <v>635</v>
      </c>
      <c r="C664" s="11">
        <v>16510</v>
      </c>
      <c r="D664" s="11">
        <v>300</v>
      </c>
      <c r="E664" s="11">
        <v>260</v>
      </c>
      <c r="F664" t="s">
        <v>32</v>
      </c>
      <c r="G664">
        <v>12</v>
      </c>
      <c r="I664" t="s">
        <v>32</v>
      </c>
      <c r="J664">
        <v>12</v>
      </c>
      <c r="K664" s="11">
        <v>12220.599999999999</v>
      </c>
    </row>
    <row r="665" spans="1:11" x14ac:dyDescent="0.3">
      <c r="A665" s="11">
        <v>10262.07</v>
      </c>
      <c r="B665">
        <v>1611</v>
      </c>
      <c r="C665" s="11">
        <v>2207.0699999999997</v>
      </c>
      <c r="D665" s="11">
        <v>7</v>
      </c>
      <c r="E665" s="11">
        <v>5</v>
      </c>
      <c r="F665" t="s">
        <v>32</v>
      </c>
      <c r="G665">
        <v>12</v>
      </c>
      <c r="I665" t="s">
        <v>32</v>
      </c>
      <c r="J665">
        <v>12</v>
      </c>
      <c r="K665" s="11">
        <v>39788</v>
      </c>
    </row>
    <row r="666" spans="1:11" x14ac:dyDescent="0.3">
      <c r="A666" s="11">
        <v>318158.75</v>
      </c>
      <c r="B666">
        <v>2797</v>
      </c>
      <c r="C666" s="11">
        <v>-17481.25</v>
      </c>
      <c r="D666" s="11">
        <v>125</v>
      </c>
      <c r="E666" s="11">
        <v>5</v>
      </c>
      <c r="F666" t="s">
        <v>32</v>
      </c>
      <c r="G666">
        <v>12</v>
      </c>
      <c r="I666" t="s">
        <v>32</v>
      </c>
      <c r="J666">
        <v>12</v>
      </c>
      <c r="K666" s="11">
        <v>5056.7999999999993</v>
      </c>
    </row>
    <row r="667" spans="1:11" x14ac:dyDescent="0.3">
      <c r="A667" s="11">
        <v>91182</v>
      </c>
      <c r="B667">
        <v>334</v>
      </c>
      <c r="C667" s="11">
        <v>7682</v>
      </c>
      <c r="D667" s="11">
        <v>300</v>
      </c>
      <c r="E667" s="11">
        <v>5</v>
      </c>
      <c r="F667" t="s">
        <v>32</v>
      </c>
      <c r="G667">
        <v>12</v>
      </c>
      <c r="I667" t="s">
        <v>32</v>
      </c>
      <c r="J667">
        <v>12</v>
      </c>
      <c r="K667" s="11">
        <v>39788</v>
      </c>
    </row>
    <row r="668" spans="1:11" x14ac:dyDescent="0.3">
      <c r="A668" s="11">
        <v>318158.75</v>
      </c>
      <c r="B668">
        <v>2797</v>
      </c>
      <c r="C668" s="11">
        <v>-17481.25</v>
      </c>
      <c r="D668" s="11">
        <v>125</v>
      </c>
      <c r="E668" s="11">
        <v>10</v>
      </c>
      <c r="F668" t="s">
        <v>32</v>
      </c>
      <c r="G668">
        <v>12</v>
      </c>
      <c r="I668" t="s">
        <v>32</v>
      </c>
      <c r="J668">
        <v>12</v>
      </c>
      <c r="K668" s="11">
        <v>84444</v>
      </c>
    </row>
    <row r="669" spans="1:11" x14ac:dyDescent="0.3">
      <c r="A669" s="11">
        <v>3318.77</v>
      </c>
      <c r="B669">
        <v>521</v>
      </c>
      <c r="C669" s="11">
        <v>713.77</v>
      </c>
      <c r="D669" s="11">
        <v>7</v>
      </c>
      <c r="E669" s="11">
        <v>3</v>
      </c>
      <c r="F669" t="s">
        <v>32</v>
      </c>
      <c r="G669">
        <v>12</v>
      </c>
      <c r="I669" t="s">
        <v>32</v>
      </c>
      <c r="J669">
        <v>12</v>
      </c>
      <c r="K669" s="11">
        <v>2701.7999999999993</v>
      </c>
    </row>
    <row r="670" spans="1:11" x14ac:dyDescent="0.3">
      <c r="A670" s="11">
        <v>3318.77</v>
      </c>
      <c r="B670">
        <v>521</v>
      </c>
      <c r="C670" s="11">
        <v>713.77</v>
      </c>
      <c r="D670" s="11">
        <v>7</v>
      </c>
      <c r="E670" s="11">
        <v>250</v>
      </c>
      <c r="F670" t="s">
        <v>32</v>
      </c>
      <c r="G670">
        <v>12</v>
      </c>
      <c r="I670" t="s">
        <v>32</v>
      </c>
      <c r="J670">
        <v>12</v>
      </c>
      <c r="K670" s="11">
        <v>2802.24</v>
      </c>
    </row>
    <row r="671" spans="1:11" x14ac:dyDescent="0.3">
      <c r="A671" s="11">
        <v>3341.52</v>
      </c>
      <c r="B671">
        <v>306</v>
      </c>
      <c r="C671" s="11">
        <v>2423.52</v>
      </c>
      <c r="D671" s="11">
        <v>12</v>
      </c>
      <c r="E671" s="11">
        <v>260</v>
      </c>
      <c r="F671" t="s">
        <v>32</v>
      </c>
      <c r="G671">
        <v>12</v>
      </c>
      <c r="I671" t="s">
        <v>32</v>
      </c>
      <c r="J671">
        <v>12</v>
      </c>
      <c r="K671" s="11">
        <v>84444</v>
      </c>
    </row>
    <row r="672" spans="1:11" x14ac:dyDescent="0.3">
      <c r="A672" s="11">
        <v>166725</v>
      </c>
      <c r="B672">
        <v>1482</v>
      </c>
      <c r="C672" s="11">
        <v>-11115</v>
      </c>
      <c r="D672" s="11">
        <v>125</v>
      </c>
      <c r="E672" s="11">
        <v>3</v>
      </c>
      <c r="F672" t="s">
        <v>32</v>
      </c>
      <c r="G672">
        <v>12</v>
      </c>
      <c r="I672" t="s">
        <v>32</v>
      </c>
      <c r="J672">
        <v>12</v>
      </c>
      <c r="K672" s="11">
        <v>16510</v>
      </c>
    </row>
    <row r="673" spans="1:11" x14ac:dyDescent="0.3">
      <c r="A673" s="11">
        <v>27972</v>
      </c>
      <c r="B673">
        <v>2072</v>
      </c>
      <c r="C673" s="11">
        <v>7252</v>
      </c>
      <c r="D673" s="11">
        <v>15</v>
      </c>
      <c r="E673" s="11">
        <v>5</v>
      </c>
      <c r="F673" t="s">
        <v>32</v>
      </c>
      <c r="G673">
        <v>12</v>
      </c>
      <c r="I673" t="s">
        <v>32</v>
      </c>
      <c r="J673">
        <v>12</v>
      </c>
      <c r="K673" s="11">
        <v>21008</v>
      </c>
    </row>
    <row r="674" spans="1:11" x14ac:dyDescent="0.3">
      <c r="A674" s="11">
        <v>215550</v>
      </c>
      <c r="B674">
        <v>1916</v>
      </c>
      <c r="C674" s="11">
        <v>-14370</v>
      </c>
      <c r="D674" s="11">
        <v>125</v>
      </c>
      <c r="E674" s="11">
        <v>120</v>
      </c>
      <c r="F674" t="s">
        <v>32</v>
      </c>
      <c r="G674">
        <v>12</v>
      </c>
      <c r="I674" t="s">
        <v>32</v>
      </c>
      <c r="J674">
        <v>12</v>
      </c>
      <c r="K674" s="11">
        <v>2701.7999999999993</v>
      </c>
    </row>
    <row r="675" spans="1:11" x14ac:dyDescent="0.3">
      <c r="A675" s="11">
        <v>230310</v>
      </c>
      <c r="B675">
        <v>853</v>
      </c>
      <c r="C675" s="11">
        <v>17060</v>
      </c>
      <c r="D675" s="11">
        <v>300</v>
      </c>
      <c r="E675" s="11">
        <v>120</v>
      </c>
      <c r="F675" t="s">
        <v>32</v>
      </c>
      <c r="G675">
        <v>12</v>
      </c>
      <c r="I675" t="s">
        <v>32</v>
      </c>
      <c r="J675">
        <v>12</v>
      </c>
      <c r="K675" s="11">
        <v>11055</v>
      </c>
    </row>
    <row r="676" spans="1:11" x14ac:dyDescent="0.3">
      <c r="A676" s="11">
        <v>589050</v>
      </c>
      <c r="B676">
        <v>1870</v>
      </c>
      <c r="C676" s="11">
        <v>102850</v>
      </c>
      <c r="D676" s="11">
        <v>350</v>
      </c>
      <c r="E676" s="11">
        <v>250</v>
      </c>
      <c r="F676" t="s">
        <v>32</v>
      </c>
      <c r="G676">
        <v>12</v>
      </c>
      <c r="I676" t="s">
        <v>32</v>
      </c>
      <c r="J676">
        <v>12</v>
      </c>
      <c r="K676" s="11">
        <v>16510</v>
      </c>
    </row>
    <row r="677" spans="1:11" x14ac:dyDescent="0.3">
      <c r="A677" s="11">
        <v>27972</v>
      </c>
      <c r="B677">
        <v>2072</v>
      </c>
      <c r="C677" s="11">
        <v>7252</v>
      </c>
      <c r="D677" s="11">
        <v>15</v>
      </c>
      <c r="E677" s="11">
        <v>260</v>
      </c>
      <c r="F677" t="s">
        <v>32</v>
      </c>
      <c r="G677">
        <v>12</v>
      </c>
      <c r="I677" t="s">
        <v>32</v>
      </c>
      <c r="J677">
        <v>12</v>
      </c>
      <c r="K677" s="11">
        <v>2207.0699999999997</v>
      </c>
    </row>
    <row r="678" spans="1:11" x14ac:dyDescent="0.3">
      <c r="A678" s="11">
        <v>230310</v>
      </c>
      <c r="B678">
        <v>853</v>
      </c>
      <c r="C678" s="11">
        <v>17060</v>
      </c>
      <c r="D678" s="11">
        <v>300</v>
      </c>
      <c r="E678" s="11">
        <v>260</v>
      </c>
      <c r="F678" t="s">
        <v>32</v>
      </c>
      <c r="G678">
        <v>12</v>
      </c>
      <c r="I678" t="s">
        <v>32</v>
      </c>
      <c r="J678">
        <v>12</v>
      </c>
      <c r="K678" s="11">
        <v>-17481.25</v>
      </c>
    </row>
    <row r="679" spans="1:11" x14ac:dyDescent="0.3">
      <c r="A679" s="11">
        <v>28795.95</v>
      </c>
      <c r="B679">
        <v>2157</v>
      </c>
      <c r="C679" s="11">
        <v>7225.9500000000007</v>
      </c>
      <c r="D679" s="11">
        <v>15</v>
      </c>
      <c r="E679" s="11">
        <v>5</v>
      </c>
      <c r="F679" t="s">
        <v>32</v>
      </c>
      <c r="G679">
        <v>12</v>
      </c>
      <c r="I679" t="s">
        <v>32</v>
      </c>
      <c r="J679">
        <v>12</v>
      </c>
      <c r="K679" s="11">
        <v>7682</v>
      </c>
    </row>
    <row r="680" spans="1:11" x14ac:dyDescent="0.3">
      <c r="A680" s="11">
        <v>28795.95</v>
      </c>
      <c r="B680">
        <v>2157</v>
      </c>
      <c r="C680" s="11">
        <v>7225.9500000000007</v>
      </c>
      <c r="D680" s="11">
        <v>15</v>
      </c>
      <c r="E680" s="11">
        <v>260</v>
      </c>
      <c r="F680" t="s">
        <v>32</v>
      </c>
      <c r="G680">
        <v>12</v>
      </c>
      <c r="I680" t="s">
        <v>32</v>
      </c>
      <c r="J680">
        <v>12</v>
      </c>
      <c r="K680" s="11">
        <v>-17481.25</v>
      </c>
    </row>
    <row r="681" spans="1:11" x14ac:dyDescent="0.3">
      <c r="A681" s="11">
        <v>313104</v>
      </c>
      <c r="B681">
        <v>1186</v>
      </c>
      <c r="C681" s="11">
        <v>16604</v>
      </c>
      <c r="D681" s="11">
        <v>300</v>
      </c>
      <c r="E681" s="11">
        <v>5</v>
      </c>
      <c r="F681" t="s">
        <v>32</v>
      </c>
      <c r="G681">
        <v>12</v>
      </c>
      <c r="I681" t="s">
        <v>32</v>
      </c>
      <c r="J681">
        <v>12</v>
      </c>
      <c r="K681" s="11">
        <v>713.77</v>
      </c>
    </row>
    <row r="682" spans="1:11" x14ac:dyDescent="0.3">
      <c r="A682" s="11">
        <v>5016</v>
      </c>
      <c r="B682">
        <v>380</v>
      </c>
      <c r="C682" s="11">
        <v>1216</v>
      </c>
      <c r="D682" s="11">
        <v>15</v>
      </c>
      <c r="E682" s="11">
        <v>10</v>
      </c>
      <c r="F682" t="s">
        <v>32</v>
      </c>
      <c r="G682">
        <v>12</v>
      </c>
      <c r="I682" t="s">
        <v>32</v>
      </c>
      <c r="J682">
        <v>12</v>
      </c>
      <c r="K682" s="11">
        <v>713.77</v>
      </c>
    </row>
    <row r="683" spans="1:11" x14ac:dyDescent="0.3">
      <c r="A683" s="11">
        <v>21700.799999999999</v>
      </c>
      <c r="B683">
        <v>1233</v>
      </c>
      <c r="C683" s="11">
        <v>9370.7999999999993</v>
      </c>
      <c r="D683" s="11">
        <v>20</v>
      </c>
      <c r="E683" s="11">
        <v>10</v>
      </c>
      <c r="F683" t="s">
        <v>32</v>
      </c>
      <c r="G683">
        <v>12</v>
      </c>
      <c r="I683" t="s">
        <v>32</v>
      </c>
      <c r="J683">
        <v>12</v>
      </c>
      <c r="K683" s="11">
        <v>2423.52</v>
      </c>
    </row>
    <row r="684" spans="1:11" x14ac:dyDescent="0.3">
      <c r="A684" s="11">
        <v>21700.799999999999</v>
      </c>
      <c r="B684">
        <v>1233</v>
      </c>
      <c r="C684" s="11">
        <v>9370.7999999999993</v>
      </c>
      <c r="D684" s="11">
        <v>20</v>
      </c>
      <c r="E684" s="11">
        <v>250</v>
      </c>
      <c r="F684" t="s">
        <v>32</v>
      </c>
      <c r="G684">
        <v>12</v>
      </c>
      <c r="I684" t="s">
        <v>32</v>
      </c>
      <c r="J684">
        <v>12</v>
      </c>
      <c r="K684" s="11">
        <v>-11115</v>
      </c>
    </row>
    <row r="685" spans="1:11" x14ac:dyDescent="0.3">
      <c r="A685" s="11">
        <v>26945.599999999999</v>
      </c>
      <c r="B685">
        <v>1531</v>
      </c>
      <c r="C685" s="11">
        <v>11635.599999999999</v>
      </c>
      <c r="D685" s="11">
        <v>20</v>
      </c>
      <c r="E685" s="11">
        <v>10</v>
      </c>
      <c r="F685" t="s">
        <v>32</v>
      </c>
      <c r="G685">
        <v>12</v>
      </c>
      <c r="I685" t="s">
        <v>32</v>
      </c>
      <c r="J685">
        <v>12</v>
      </c>
      <c r="K685" s="11">
        <v>7252</v>
      </c>
    </row>
    <row r="686" spans="1:11" x14ac:dyDescent="0.3">
      <c r="A686" s="11">
        <v>26945.599999999999</v>
      </c>
      <c r="B686">
        <v>1531</v>
      </c>
      <c r="C686" s="11">
        <v>11635.599999999999</v>
      </c>
      <c r="D686" s="11">
        <v>20</v>
      </c>
      <c r="E686" s="11">
        <v>250</v>
      </c>
      <c r="F686" t="s">
        <v>32</v>
      </c>
      <c r="G686">
        <v>12</v>
      </c>
      <c r="I686" t="s">
        <v>32</v>
      </c>
      <c r="J686">
        <v>12</v>
      </c>
      <c r="K686" s="11">
        <v>-14370</v>
      </c>
    </row>
    <row r="687" spans="1:11" x14ac:dyDescent="0.3">
      <c r="A687" s="11">
        <v>10575.72</v>
      </c>
      <c r="B687">
        <v>1013</v>
      </c>
      <c r="C687" s="11">
        <v>7536.7199999999993</v>
      </c>
      <c r="D687" s="11">
        <v>12</v>
      </c>
      <c r="E687" s="11">
        <v>10</v>
      </c>
      <c r="F687" t="s">
        <v>32</v>
      </c>
      <c r="G687">
        <v>12</v>
      </c>
      <c r="I687" t="s">
        <v>32</v>
      </c>
      <c r="J687">
        <v>12</v>
      </c>
      <c r="K687" s="11">
        <v>17060</v>
      </c>
    </row>
    <row r="688" spans="1:11" x14ac:dyDescent="0.3">
      <c r="A688" s="11">
        <v>10575.72</v>
      </c>
      <c r="B688">
        <v>1013</v>
      </c>
      <c r="C688" s="11">
        <v>7536.7199999999993</v>
      </c>
      <c r="D688" s="11">
        <v>12</v>
      </c>
      <c r="E688" s="11">
        <v>120</v>
      </c>
      <c r="F688" t="s">
        <v>32</v>
      </c>
      <c r="G688">
        <v>12</v>
      </c>
      <c r="I688" t="s">
        <v>32</v>
      </c>
      <c r="J688">
        <v>12</v>
      </c>
      <c r="K688" s="11">
        <v>102850</v>
      </c>
    </row>
    <row r="689" spans="1:11" x14ac:dyDescent="0.3">
      <c r="A689" s="11">
        <v>18478.8</v>
      </c>
      <c r="B689">
        <v>1770</v>
      </c>
      <c r="C689" s="11">
        <v>13168.8</v>
      </c>
      <c r="D689" s="11">
        <v>12</v>
      </c>
      <c r="E689" s="11">
        <v>260</v>
      </c>
      <c r="F689" t="s">
        <v>32</v>
      </c>
      <c r="G689">
        <v>12</v>
      </c>
      <c r="I689" t="s">
        <v>32</v>
      </c>
      <c r="J689">
        <v>12</v>
      </c>
      <c r="K689" s="11">
        <v>7252</v>
      </c>
    </row>
    <row r="690" spans="1:11" x14ac:dyDescent="0.3">
      <c r="A690" s="11">
        <v>1685.6</v>
      </c>
      <c r="B690">
        <v>280</v>
      </c>
      <c r="C690" s="11">
        <v>285.59999999999991</v>
      </c>
      <c r="D690" s="11">
        <v>7</v>
      </c>
      <c r="E690" s="11">
        <v>3</v>
      </c>
      <c r="F690" t="s">
        <v>32</v>
      </c>
      <c r="G690">
        <v>12</v>
      </c>
      <c r="I690" t="s">
        <v>32</v>
      </c>
      <c r="J690">
        <v>12</v>
      </c>
      <c r="K690" s="11">
        <v>17060</v>
      </c>
    </row>
    <row r="691" spans="1:11" x14ac:dyDescent="0.3">
      <c r="A691" s="11">
        <v>1685.6</v>
      </c>
      <c r="B691">
        <v>280</v>
      </c>
      <c r="C691" s="11">
        <v>285.59999999999991</v>
      </c>
      <c r="D691" s="11">
        <v>7</v>
      </c>
      <c r="E691" s="11">
        <v>250</v>
      </c>
      <c r="F691" t="s">
        <v>32</v>
      </c>
      <c r="G691">
        <v>12</v>
      </c>
      <c r="I691" t="s">
        <v>32</v>
      </c>
      <c r="J691">
        <v>12</v>
      </c>
      <c r="K691" s="11">
        <v>7225.9500000000007</v>
      </c>
    </row>
    <row r="692" spans="1:11" x14ac:dyDescent="0.3">
      <c r="A692" s="11">
        <v>20794.8</v>
      </c>
      <c r="B692">
        <v>2015</v>
      </c>
      <c r="C692" s="11">
        <v>14749.8</v>
      </c>
      <c r="D692" s="11">
        <v>12</v>
      </c>
      <c r="E692" s="11">
        <v>260</v>
      </c>
      <c r="F692" t="s">
        <v>32</v>
      </c>
      <c r="G692">
        <v>12</v>
      </c>
      <c r="I692" t="s">
        <v>32</v>
      </c>
      <c r="J692">
        <v>12</v>
      </c>
      <c r="K692" s="11">
        <v>7225.9500000000007</v>
      </c>
    </row>
    <row r="693" spans="1:11" x14ac:dyDescent="0.3">
      <c r="A693" s="11">
        <v>29670</v>
      </c>
      <c r="B693">
        <v>2300</v>
      </c>
      <c r="C693" s="11">
        <v>6670</v>
      </c>
      <c r="D693" s="11">
        <v>15</v>
      </c>
      <c r="E693" s="11">
        <v>3</v>
      </c>
      <c r="F693" t="s">
        <v>32</v>
      </c>
      <c r="G693">
        <v>12</v>
      </c>
      <c r="I693" t="s">
        <v>32</v>
      </c>
      <c r="J693">
        <v>12</v>
      </c>
      <c r="K693" s="11">
        <v>16604</v>
      </c>
    </row>
    <row r="694" spans="1:11" x14ac:dyDescent="0.3">
      <c r="A694" s="11">
        <v>303257.5</v>
      </c>
      <c r="B694">
        <v>2821</v>
      </c>
      <c r="C694" s="11">
        <v>-35262.5</v>
      </c>
      <c r="D694" s="11">
        <v>125</v>
      </c>
      <c r="E694" s="11">
        <v>3</v>
      </c>
      <c r="F694" t="s">
        <v>32</v>
      </c>
      <c r="G694">
        <v>12</v>
      </c>
      <c r="I694" t="s">
        <v>32</v>
      </c>
      <c r="J694">
        <v>12</v>
      </c>
      <c r="K694" s="11">
        <v>1216</v>
      </c>
    </row>
    <row r="695" spans="1:11" x14ac:dyDescent="0.3">
      <c r="A695" s="11">
        <v>29670</v>
      </c>
      <c r="B695">
        <v>2300</v>
      </c>
      <c r="C695" s="11">
        <v>6670</v>
      </c>
      <c r="D695" s="11">
        <v>15</v>
      </c>
      <c r="E695" s="11">
        <v>5</v>
      </c>
      <c r="F695" t="s">
        <v>32</v>
      </c>
      <c r="G695">
        <v>12</v>
      </c>
      <c r="I695" t="s">
        <v>32</v>
      </c>
      <c r="J695">
        <v>12</v>
      </c>
      <c r="K695" s="11">
        <v>9370.7999999999993</v>
      </c>
    </row>
    <row r="696" spans="1:11" x14ac:dyDescent="0.3">
      <c r="A696" s="11">
        <v>385581</v>
      </c>
      <c r="B696">
        <v>1281</v>
      </c>
      <c r="C696" s="11">
        <v>52521</v>
      </c>
      <c r="D696" s="11">
        <v>350</v>
      </c>
      <c r="E696" s="11">
        <v>250</v>
      </c>
      <c r="F696" t="s">
        <v>32</v>
      </c>
      <c r="G696">
        <v>12</v>
      </c>
      <c r="I696" t="s">
        <v>32</v>
      </c>
      <c r="J696">
        <v>12</v>
      </c>
      <c r="K696" s="11">
        <v>9370.7999999999993</v>
      </c>
    </row>
    <row r="697" spans="1:11" x14ac:dyDescent="0.3">
      <c r="A697" s="11">
        <v>9322.7999999999993</v>
      </c>
      <c r="B697">
        <v>914</v>
      </c>
      <c r="C697" s="11">
        <v>6580.7999999999993</v>
      </c>
      <c r="D697" s="11">
        <v>12</v>
      </c>
      <c r="E697" s="11">
        <v>10</v>
      </c>
      <c r="F697" t="s">
        <v>32</v>
      </c>
      <c r="G697">
        <v>12</v>
      </c>
      <c r="I697" t="s">
        <v>32</v>
      </c>
      <c r="J697">
        <v>12</v>
      </c>
      <c r="K697" s="11">
        <v>11635.599999999999</v>
      </c>
    </row>
    <row r="698" spans="1:11" x14ac:dyDescent="0.3">
      <c r="A698" s="11">
        <v>4981</v>
      </c>
      <c r="B698">
        <v>293</v>
      </c>
      <c r="C698" s="11">
        <v>2051</v>
      </c>
      <c r="D698" s="11">
        <v>20</v>
      </c>
      <c r="E698" s="11">
        <v>10</v>
      </c>
      <c r="F698" t="s">
        <v>32</v>
      </c>
      <c r="G698">
        <v>12</v>
      </c>
      <c r="I698" t="s">
        <v>32</v>
      </c>
      <c r="J698">
        <v>12</v>
      </c>
      <c r="K698" s="11">
        <v>11635.599999999999</v>
      </c>
    </row>
    <row r="699" spans="1:11" x14ac:dyDescent="0.3">
      <c r="A699" s="11">
        <v>259037.5</v>
      </c>
      <c r="B699">
        <v>2438</v>
      </c>
      <c r="C699" s="11">
        <v>-33522.5</v>
      </c>
      <c r="D699" s="11">
        <v>125</v>
      </c>
      <c r="E699" s="11">
        <v>120</v>
      </c>
      <c r="F699" t="s">
        <v>32</v>
      </c>
      <c r="G699">
        <v>12</v>
      </c>
      <c r="I699" t="s">
        <v>32</v>
      </c>
      <c r="J699">
        <v>12</v>
      </c>
      <c r="K699" s="11">
        <v>7536.7199999999993</v>
      </c>
    </row>
    <row r="700" spans="1:11" x14ac:dyDescent="0.3">
      <c r="A700" s="11">
        <v>9322.7999999999993</v>
      </c>
      <c r="B700">
        <v>914</v>
      </c>
      <c r="C700" s="11">
        <v>6580.7999999999993</v>
      </c>
      <c r="D700" s="11">
        <v>12</v>
      </c>
      <c r="E700" s="11">
        <v>120</v>
      </c>
      <c r="F700" t="s">
        <v>32</v>
      </c>
      <c r="G700">
        <v>12</v>
      </c>
      <c r="I700" t="s">
        <v>32</v>
      </c>
      <c r="J700">
        <v>12</v>
      </c>
      <c r="K700" s="11">
        <v>7536.7199999999993</v>
      </c>
    </row>
    <row r="701" spans="1:11" x14ac:dyDescent="0.3">
      <c r="A701" s="11">
        <v>4981</v>
      </c>
      <c r="B701">
        <v>293</v>
      </c>
      <c r="C701" s="11">
        <v>2051</v>
      </c>
      <c r="D701" s="11">
        <v>20</v>
      </c>
      <c r="E701" s="11">
        <v>250</v>
      </c>
      <c r="F701" t="s">
        <v>32</v>
      </c>
      <c r="G701">
        <v>12</v>
      </c>
      <c r="I701" t="s">
        <v>32</v>
      </c>
      <c r="J701">
        <v>12</v>
      </c>
      <c r="K701" s="11">
        <v>13168.8</v>
      </c>
    </row>
    <row r="702" spans="1:11" x14ac:dyDescent="0.3">
      <c r="I702" t="s">
        <v>32</v>
      </c>
      <c r="J702">
        <v>12</v>
      </c>
      <c r="K702" s="11">
        <v>285.59999999999991</v>
      </c>
    </row>
    <row r="703" spans="1:11" x14ac:dyDescent="0.3">
      <c r="I703" t="s">
        <v>32</v>
      </c>
      <c r="J703">
        <v>12</v>
      </c>
      <c r="K703" s="11">
        <v>285.59999999999991</v>
      </c>
    </row>
    <row r="704" spans="1:11" x14ac:dyDescent="0.3">
      <c r="I704" t="s">
        <v>32</v>
      </c>
      <c r="J704">
        <v>12</v>
      </c>
      <c r="K704" s="11">
        <v>14749.8</v>
      </c>
    </row>
    <row r="705" spans="9:11" x14ac:dyDescent="0.3">
      <c r="I705" t="s">
        <v>32</v>
      </c>
      <c r="J705">
        <v>12</v>
      </c>
      <c r="K705" s="11">
        <v>6670</v>
      </c>
    </row>
    <row r="706" spans="9:11" x14ac:dyDescent="0.3">
      <c r="I706" t="s">
        <v>32</v>
      </c>
      <c r="J706">
        <v>12</v>
      </c>
      <c r="K706" s="11">
        <v>-35262.5</v>
      </c>
    </row>
    <row r="707" spans="9:11" x14ac:dyDescent="0.3">
      <c r="I707" t="s">
        <v>32</v>
      </c>
      <c r="J707">
        <v>12</v>
      </c>
      <c r="K707" s="11">
        <v>6670</v>
      </c>
    </row>
    <row r="708" spans="9:11" x14ac:dyDescent="0.3">
      <c r="I708" t="s">
        <v>32</v>
      </c>
      <c r="J708">
        <v>12</v>
      </c>
      <c r="K708" s="11">
        <v>52521</v>
      </c>
    </row>
    <row r="709" spans="9:11" x14ac:dyDescent="0.3">
      <c r="I709" t="s">
        <v>32</v>
      </c>
      <c r="J709">
        <v>12</v>
      </c>
      <c r="K709" s="11">
        <v>6580.7999999999993</v>
      </c>
    </row>
    <row r="710" spans="9:11" x14ac:dyDescent="0.3">
      <c r="I710" t="s">
        <v>32</v>
      </c>
      <c r="J710">
        <v>12</v>
      </c>
      <c r="K710" s="11">
        <v>2051</v>
      </c>
    </row>
    <row r="711" spans="9:11" x14ac:dyDescent="0.3">
      <c r="I711" t="s">
        <v>32</v>
      </c>
      <c r="J711">
        <v>12</v>
      </c>
      <c r="K711" s="11">
        <v>-33522.5</v>
      </c>
    </row>
    <row r="712" spans="9:11" x14ac:dyDescent="0.3">
      <c r="I712" t="s">
        <v>32</v>
      </c>
      <c r="J712">
        <v>12</v>
      </c>
      <c r="K712" s="11">
        <v>6580.7999999999993</v>
      </c>
    </row>
    <row r="713" spans="9:11" x14ac:dyDescent="0.3">
      <c r="I713" t="s">
        <v>32</v>
      </c>
      <c r="J713">
        <v>12</v>
      </c>
      <c r="K713" s="11">
        <v>2051</v>
      </c>
    </row>
  </sheetData>
  <sheetProtection sheet="1" objects="1" scenarios="1"/>
  <scenarios current="0" show="0">
    <scenario name="CHANGING MANUFACTURING COST" locked="1" count="12" user="krishna" comment="Created by krishna on 30-05-2026">
      <inputCells r="L3" val="0.05" numFmtId="9"/>
      <inputCells r="L4" val="0.1" numFmtId="9"/>
      <inputCells r="L5" val="0.15" numFmtId="9"/>
      <inputCells r="L6" val="0.2" numFmtId="9"/>
      <inputCells r="L7" val="0.25" numFmtId="9"/>
      <inputCells r="L8" val="0.3" numFmtId="9"/>
      <inputCells r="M2" val="20" numFmtId="167"/>
      <inputCells r="N2" val="25" numFmtId="167"/>
      <inputCells r="O2" val="30" numFmtId="167"/>
      <inputCells r="P2" val="35" numFmtId="167"/>
      <inputCells r="Q2" val="40" numFmtId="167"/>
      <inputCells r="R2" val="45" numFmtId="167"/>
    </scenario>
  </scenarios>
  <sortState xmlns:xlrd2="http://schemas.microsoft.com/office/spreadsheetml/2017/richdata2" ref="H10:H15">
    <sortCondition ref="H10"/>
  </sortState>
  <mergeCells count="2">
    <mergeCell ref="L1:R1"/>
    <mergeCell ref="M13:N13"/>
  </mergeCells>
  <phoneticPr fontId="5" type="noConversion"/>
  <conditionalFormatting sqref="L2:R8">
    <cfRule type="colorScale" priority="6">
      <colorScale>
        <cfvo type="min"/>
        <cfvo type="max"/>
        <color rgb="FFFCFCFF"/>
        <color theme="4" tint="0.39997558519241921"/>
      </colorScale>
    </cfRule>
  </conditionalFormatting>
  <conditionalFormatting sqref="M15:N15">
    <cfRule type="colorScale" priority="5">
      <colorScale>
        <cfvo type="min"/>
        <cfvo type="max"/>
        <color rgb="FFFCFCFF"/>
        <color theme="4" tint="0.39997558519241921"/>
      </colorScale>
    </cfRule>
  </conditionalFormatting>
  <conditionalFormatting sqref="N17">
    <cfRule type="colorScale" priority="4">
      <colorScale>
        <cfvo type="min"/>
        <cfvo type="max"/>
        <color rgb="FFFCFCFF"/>
        <color theme="4" tint="0.39997558519241921"/>
      </colorScale>
    </cfRule>
  </conditionalFormatting>
  <conditionalFormatting sqref="N24:N25">
    <cfRule type="colorScale" priority="3">
      <colorScale>
        <cfvo type="min"/>
        <cfvo type="max"/>
        <color rgb="FFFCFCFF"/>
        <color theme="4" tint="0.39997558519241921"/>
      </colorScale>
    </cfRule>
  </conditionalFormatting>
  <conditionalFormatting sqref="P18">
    <cfRule type="colorScale" priority="1">
      <colorScale>
        <cfvo type="min"/>
        <cfvo type="max"/>
        <color rgb="FFFCFCFF"/>
        <color theme="4" tint="0.39997558519241921"/>
      </colorScale>
    </cfRule>
  </conditionalFormatting>
  <conditionalFormatting sqref="Q18">
    <cfRule type="colorScale" priority="2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Krishna Gangwani</cp:lastModifiedBy>
  <dcterms:created xsi:type="dcterms:W3CDTF">2014-01-28T02:45:41Z</dcterms:created>
  <dcterms:modified xsi:type="dcterms:W3CDTF">2026-05-30T16:27:12Z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